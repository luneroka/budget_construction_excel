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yoann/data/projects/budget_construction/"/>
    </mc:Choice>
  </mc:AlternateContent>
  <xr:revisionPtr revIDLastSave="0" documentId="13_ncr:1_{99F7739C-C5B4-0845-9980-9573B9A3A42E}" xr6:coauthVersionLast="47" xr6:coauthVersionMax="47" xr10:uidLastSave="{00000000-0000-0000-0000-000000000000}"/>
  <bookViews>
    <workbookView xWindow="23960" yWindow="600" windowWidth="44840" windowHeight="28200" tabRatio="894" activeTab="5" xr2:uid="{00000000-000D-0000-FFFF-FFFF00000000}"/>
  </bookViews>
  <sheets>
    <sheet name="PRODUITS" sheetId="17" r:id="rId1"/>
    <sheet name="SOUS-PRODUITS" sheetId="41" r:id="rId2"/>
    <sheet name="input_staging" sheetId="35" state="hidden" r:id="rId3"/>
    <sheet name="input_staging_enriched" sheetId="37" state="hidden" r:id="rId4"/>
    <sheet name="fact_transactions" sheetId="23" state="hidden" r:id="rId5"/>
    <sheet name="INPUT" sheetId="19" r:id="rId6"/>
    <sheet name="COÛTS" sheetId="28" r:id="rId7"/>
    <sheet name="ui_picker" sheetId="31" state="veryHidden" r:id="rId8"/>
    <sheet name="DASHBOARD" sheetId="5" r:id="rId9"/>
    <sheet name="RECHERCHE" sheetId="36" r:id="rId10"/>
    <sheet name="FOURNISSEURS" sheetId="30" r:id="rId11"/>
  </sheets>
  <functionGroups builtInGroupCount="19">
    <functionGroup name="GPT for Excel Word"/>
  </functionGroups>
  <definedNames>
    <definedName name="_xlchart.v1.0" hidden="1">DASHBOARD!$K$7:$K$13</definedName>
    <definedName name="_xlchart.v1.1" hidden="1">DASHBOARD!$M$6</definedName>
    <definedName name="_xlchart.v1.2" hidden="1">DASHBOARD!$M$7:$M$13</definedName>
    <definedName name="_xlchart.v1.3" hidden="1">DASHBOARD!$N$6</definedName>
    <definedName name="_xlchart.v1.4" hidden="1">DASHBOARD!$N$7:$N$13</definedName>
    <definedName name="_xleta.IF" hidden="1" xlm="1">#NAME?</definedName>
    <definedName name="_xleta.SUMIF" hidden="1" xlm="1">#NAME?</definedName>
    <definedName name="_xleta.SUMIFS" hidden="1" xlm="1">#NAME?</definedName>
    <definedName name="_xleta.UNIQUE" hidden="1" xlm="1">#NAME?</definedName>
    <definedName name="CategorieList">_xlfn.ANCHORARRAY(INPUT!$H$4)</definedName>
    <definedName name="ExternalData_1" localSheetId="4" hidden="1">fact_transactions!$A$1:$Q$2</definedName>
    <definedName name="ExternalData_1" localSheetId="3" hidden="1">input_staging_enriched!$A$1:$R$2</definedName>
    <definedName name="ExternalData_1" localSheetId="0" hidden="1">PRODUITS!$A$1:$E$138</definedName>
    <definedName name="ExternalData_1" localSheetId="9" hidden="1">RECHERCHE!$E$13:$P$14</definedName>
    <definedName name="ExternalData_2" localSheetId="6" hidden="1">COÛTS!$A$1:$O$2</definedName>
    <definedName name="FournisseursList">_xlfn.ANCHORARRAY(INPUT!$K$4)</definedName>
    <definedName name="InputId">INPUT!$L$4</definedName>
    <definedName name="Liste_Categories">#REF!:INDEX(#REF!,COUNTA(#REF!))</definedName>
    <definedName name="Liste_Produits">IFERROR(_xlfn.UNIQUE(_xlfn._xlws.FILTER(#REF!,(#REF!=INDIRECT("dim_references!B"&amp;ROW()))*(#REF!=INDIRECT("dim_references!C"&amp;ROW())))),"")</definedName>
    <definedName name="Liste_SousCategories">IFERROR(_xlfn.UNIQUE(_xlfn._xlws.FILTER(#REF!,#REF!=INDIRECT("dim_references!B"&amp;ROW()))),"")</definedName>
    <definedName name="ProduitList">_xlfn.ANCHORARRAY(INPUT!$J$4)</definedName>
    <definedName name="RechercheAllFournisseurs">_xlfn.ANCHORARRAY(RECHERCHE!$AB$14)</definedName>
    <definedName name="RechercheCatList">_xlfn.ANCHORARRAY(RECHERCHE!$W$14)</definedName>
    <definedName name="RechercheDatesList">_xlfn.ANCHORARRAY(RECHERCHE!$AD$14)</definedName>
    <definedName name="RechercheFournisseursList">_xlfn.ANCHORARRAY(RECHERCHE!$AA$14)</definedName>
    <definedName name="RechercheProduitList">_xlfn.ANCHORARRAY(RECHERCHE!$Y$14)</definedName>
    <definedName name="RechercheSousCatList">_xlfn.ANCHORARRAY(RECHERCHE!$X$14)</definedName>
    <definedName name="RechercheSousProduitsList">_xlfn.ANCHORARRAY(RECHERCHE!$Z$14)</definedName>
    <definedName name="RechercheTypeList">_xlfn.ANCHORARRAY(RECHERCHE!$AC$14)</definedName>
    <definedName name="SousCategorieList">_xlfn.ANCHORARRAY(INPUT!$I$4)</definedName>
    <definedName name="SousProduitsList">_xlfn.ANCHORARRAY(INPUT!$N$4)</definedName>
    <definedName name="upload_status">INPUT!$M$4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4" i="36" l="1" a="1"/>
  <c r="Y14" i="36" a="1"/>
  <c r="N4" i="19" a="1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122" i="17"/>
  <c r="E123" i="17"/>
  <c r="E124" i="17"/>
  <c r="E125" i="17"/>
  <c r="E126" i="17"/>
  <c r="E127" i="17"/>
  <c r="E128" i="17"/>
  <c r="E129" i="17"/>
  <c r="E130" i="17"/>
  <c r="E131" i="17"/>
  <c r="E132" i="17"/>
  <c r="E133" i="17"/>
  <c r="E134" i="17"/>
  <c r="E135" i="17"/>
  <c r="E136" i="17"/>
  <c r="E137" i="17"/>
  <c r="E138" i="17"/>
  <c r="AB14" i="36" a="1"/>
  <c r="AA14" i="36" a="1"/>
  <c r="E2" i="17"/>
  <c r="K4" i="19" a="1"/>
  <c r="AD14" i="36" a="1"/>
  <c r="AC14" i="36" a="1"/>
  <c r="X14" i="36" a="1"/>
  <c r="W14" i="36" a="1"/>
  <c r="C40" i="5" a="1"/>
  <c r="C40" i="5" s="1"/>
  <c r="D16" i="19"/>
  <c r="D34" i="5"/>
  <c r="D33" i="5"/>
  <c r="D32" i="5"/>
  <c r="D30" i="5"/>
  <c r="D29" i="5"/>
  <c r="D28" i="5"/>
  <c r="D26" i="5"/>
  <c r="D25" i="5"/>
  <c r="D24" i="5"/>
  <c r="D22" i="5"/>
  <c r="D21" i="5"/>
  <c r="D20" i="5"/>
  <c r="D18" i="5"/>
  <c r="D17" i="5"/>
  <c r="D16" i="5"/>
  <c r="D14" i="5"/>
  <c r="D13" i="5"/>
  <c r="D12" i="5"/>
  <c r="D10" i="5"/>
  <c r="D9" i="5"/>
  <c r="D8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6" i="5"/>
  <c r="D7" i="5"/>
  <c r="D11" i="5"/>
  <c r="D15" i="5"/>
  <c r="D19" i="5"/>
  <c r="D23" i="5"/>
  <c r="D27" i="5"/>
  <c r="D31" i="5"/>
  <c r="D6" i="5"/>
  <c r="H4" i="19" a="1"/>
  <c r="J4" i="19" a="1"/>
  <c r="I4" i="19" a="1"/>
  <c r="Z14" i="36" l="1"/>
  <c r="Y14" i="36"/>
  <c r="AA14" i="36"/>
  <c r="N4" i="19"/>
  <c r="AB14" i="36"/>
  <c r="X14" i="36"/>
  <c r="K4" i="19"/>
  <c r="AD14" i="36"/>
  <c r="AC14" i="36"/>
  <c r="W14" i="36"/>
  <c r="H4" i="19"/>
  <c r="J4" i="19"/>
  <c r="I4" i="19"/>
  <c r="P12" i="5"/>
  <c r="P9" i="5"/>
  <c r="P11" i="5"/>
  <c r="P10" i="5"/>
  <c r="P8" i="5"/>
  <c r="P7" i="5"/>
  <c r="P13" i="5"/>
  <c r="G35" i="5"/>
  <c r="F18" i="5"/>
  <c r="H18" i="5" s="1"/>
  <c r="I18" i="5" s="1"/>
  <c r="F28" i="5"/>
  <c r="H28" i="5" s="1"/>
  <c r="I28" i="5" s="1"/>
  <c r="M8" i="5"/>
  <c r="F17" i="5"/>
  <c r="H17" i="5" s="1"/>
  <c r="I17" i="5" s="1"/>
  <c r="M9" i="5"/>
  <c r="M10" i="5"/>
  <c r="F15" i="5"/>
  <c r="H15" i="5" s="1"/>
  <c r="I15" i="5" s="1"/>
  <c r="M11" i="5"/>
  <c r="M13" i="5"/>
  <c r="M12" i="5"/>
  <c r="M7" i="5"/>
  <c r="F10" i="5"/>
  <c r="H10" i="5" s="1"/>
  <c r="I10" i="5" s="1"/>
  <c r="F33" i="5"/>
  <c r="H33" i="5" s="1"/>
  <c r="I33" i="5" s="1"/>
  <c r="F27" i="5"/>
  <c r="H27" i="5" s="1"/>
  <c r="I27" i="5" s="1"/>
  <c r="F29" i="5"/>
  <c r="H29" i="5" s="1"/>
  <c r="I29" i="5" s="1"/>
  <c r="F30" i="5"/>
  <c r="H30" i="5" s="1"/>
  <c r="I30" i="5" s="1"/>
  <c r="F31" i="5"/>
  <c r="H31" i="5" s="1"/>
  <c r="I31" i="5" s="1"/>
  <c r="F21" i="5"/>
  <c r="H21" i="5" s="1"/>
  <c r="I21" i="5" s="1"/>
  <c r="L9" i="5"/>
  <c r="F6" i="5"/>
  <c r="H6" i="5" s="1"/>
  <c r="I6" i="5" s="1"/>
  <c r="F16" i="5"/>
  <c r="H16" i="5" s="1"/>
  <c r="I16" i="5" s="1"/>
  <c r="F20" i="5"/>
  <c r="H20" i="5" s="1"/>
  <c r="I20" i="5" s="1"/>
  <c r="F8" i="5"/>
  <c r="H8" i="5" s="1"/>
  <c r="I8" i="5" s="1"/>
  <c r="F19" i="5"/>
  <c r="H19" i="5" s="1"/>
  <c r="I19" i="5" s="1"/>
  <c r="F7" i="5"/>
  <c r="H7" i="5" s="1"/>
  <c r="I7" i="5" s="1"/>
  <c r="F25" i="5"/>
  <c r="H25" i="5" s="1"/>
  <c r="I25" i="5" s="1"/>
  <c r="F13" i="5"/>
  <c r="H13" i="5" s="1"/>
  <c r="I13" i="5" s="1"/>
  <c r="F24" i="5"/>
  <c r="H24" i="5" s="1"/>
  <c r="I24" i="5" s="1"/>
  <c r="F12" i="5"/>
  <c r="H12" i="5" s="1"/>
  <c r="I12" i="5" s="1"/>
  <c r="F23" i="5"/>
  <c r="H23" i="5" s="1"/>
  <c r="I23" i="5" s="1"/>
  <c r="F11" i="5"/>
  <c r="H11" i="5" s="1"/>
  <c r="I11" i="5" s="1"/>
  <c r="F34" i="5"/>
  <c r="H34" i="5" s="1"/>
  <c r="I34" i="5" s="1"/>
  <c r="F22" i="5"/>
  <c r="H22" i="5" s="1"/>
  <c r="I22" i="5" s="1"/>
  <c r="E35" i="5"/>
  <c r="P14" i="5" l="1"/>
  <c r="E40" i="5"/>
  <c r="N9" i="5"/>
  <c r="Q9" i="5" s="1"/>
  <c r="M14" i="5"/>
  <c r="L11" i="5"/>
  <c r="N11" i="5" s="1"/>
  <c r="Q11" i="5" s="1"/>
  <c r="L7" i="5"/>
  <c r="N7" i="5" s="1"/>
  <c r="Q7" i="5" s="1"/>
  <c r="L13" i="5"/>
  <c r="N13" i="5" s="1"/>
  <c r="Q13" i="5" s="1"/>
  <c r="L12" i="5"/>
  <c r="N12" i="5" s="1"/>
  <c r="Q12" i="5" s="1"/>
  <c r="L10" i="5"/>
  <c r="N10" i="5" s="1"/>
  <c r="Q10" i="5" s="1"/>
  <c r="L8" i="5"/>
  <c r="N8" i="5" s="1"/>
  <c r="Q8" i="5" s="1"/>
  <c r="F32" i="5"/>
  <c r="H32" i="5" s="1"/>
  <c r="I32" i="5" s="1"/>
  <c r="F26" i="5"/>
  <c r="H26" i="5" s="1"/>
  <c r="I26" i="5" s="1"/>
  <c r="F9" i="5"/>
  <c r="H9" i="5" s="1"/>
  <c r="I9" i="5" s="1"/>
  <c r="F14" i="5"/>
  <c r="H14" i="5" s="1"/>
  <c r="I14" i="5" s="1"/>
  <c r="D35" i="5"/>
  <c r="H35" i="5" l="1"/>
  <c r="I35" i="5" s="1"/>
  <c r="Q14" i="5"/>
  <c r="N14" i="5"/>
  <c r="O13" i="5" s="1"/>
  <c r="F35" i="5"/>
  <c r="B40" i="5" s="1"/>
  <c r="L14" i="5"/>
  <c r="O7" i="5" l="1"/>
  <c r="O11" i="5"/>
  <c r="O9" i="5"/>
  <c r="O12" i="5"/>
  <c r="O8" i="5"/>
  <c r="O10" i="5"/>
  <c r="D40" i="5"/>
  <c r="F40" i="5"/>
  <c r="G40" i="5"/>
  <c r="A40" i="5"/>
  <c r="O14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B564DC9-7ADE-4244-BE74-FB3E10A6DFF1}" keepAlive="1" name="Query - devis_only" description="Connection to the 'devis_only' query in the workbook." type="5" refreshedVersion="8" background="1" saveData="1">
    <dbPr connection="Provider=Microsoft.Mashup.OleDb.1;Data Source=$Workbook$;Location=devis_only;Extended Properties=&quot;&quot;" command="SELECT * FROM [devis_only]"/>
  </connection>
  <connection id="2" xr16:uid="{504A95AC-01D0-49E9-9985-B1CFB26C0FEE}" keepAlive="1" name="Query - dim_produits" description="Connection to the 'dim_produits' query in the workbook." type="5" refreshedVersion="0" background="1">
    <dbPr connection="Provider=Microsoft.Mashup.OleDb.1;Data Source=$Workbook$;Location=dim_produits;Extended Properties=&quot;&quot;" command="SELECT * FROM [dim_produits]"/>
  </connection>
  <connection id="3" xr16:uid="{E8A128E9-1F2F-4AA2-ABFA-6F6BDA6952EF}" keepAlive="1" name="Query - diy_only" description="Connection to the 'diy_only' query in the workbook." type="5" refreshedVersion="8" background="1" saveData="1">
    <dbPr connection="Provider=Microsoft.Mashup.OleDb.1;Data Source=$Workbook$;Location=diy_only;Extended Properties=&quot;&quot;" command="SELECT * FROM [diy_only]"/>
  </connection>
  <connection id="4" xr16:uid="{B50F1834-6818-48EA-8B67-DC6F2FA6FE11}" keepAlive="1" name="Query - fact_couts" description="Connection to the 'fact_couts' query in the workbook." type="5" refreshedVersion="8" background="1" saveData="1">
    <dbPr connection="Provider=Microsoft.Mashup.OleDb.1;Data Source=$Workbook$;Location=fact_couts;Extended Properties=&quot;&quot;" command="SELECT * FROM [fact_couts]"/>
  </connection>
  <connection id="5" xr16:uid="{1B18D0C4-D602-4533-8FE7-BF950DB4B451}" keepAlive="1" name="Query - fact_transactions(1)" description="Connection to the 'fact_transactions' query in the workbook." type="5" refreshedVersion="8" background="1" saveData="1">
    <dbPr connection="Provider=Microsoft.Mashup.OleDb.1;Data Source=$Workbook$;Location=fact_transactions;Extended Properties=&quot;&quot;" command="SELECT * FROM [fact_transactions]"/>
  </connection>
  <connection id="6" xr16:uid="{81B59235-719C-4D45-BBE9-1CF09EAE66B2}" keepAlive="1" name="Query - facture_only" description="Connection to the 'facture_only' query in the workbook." type="5" refreshedVersion="8" background="1" saveData="1">
    <dbPr connection="Provider=Microsoft.Mashup.OleDb.1;Data Source=$Workbook$;Location=facture_only;Extended Properties=&quot;&quot;" command="SELECT * FROM [facture_only]"/>
  </connection>
  <connection id="7" xr16:uid="{8CA6B62E-E964-4696-AD6E-6AD946E3B1D2}" keepAlive="1" name="Query - input_staging" description="Connection to the 'input_staging' query in the workbook." type="5" refreshedVersion="0" background="1">
    <dbPr connection="Provider=Microsoft.Mashup.OleDb.1;Data Source=$Workbook$;Location=input_staging;Extended Properties=&quot;&quot;" command="SELECT * FROM [input_staging]"/>
  </connection>
  <connection id="8" xr16:uid="{F339101F-E770-4AD6-B9B2-CF64DEA8824F}" keepAlive="1" name="Query - input_staging_enriched" description="Connection to the 'input_staging_enriched' query in the workbook." type="5" refreshedVersion="8" background="1" saveData="1">
    <dbPr connection="Provider=Microsoft.Mashup.OleDb.1;Data Source=$Workbook$;Location=input_staging_enriched;Extended Properties=&quot;&quot;" command="SELECT * FROM [input_staging_enriched]"/>
  </connection>
  <connection id="9" xr16:uid="{9076B09B-56F8-4495-B84C-B14677C98460}" keepAlive="1" name="Query - master_keys" description="Connection to the 'master_keys' query in the workbook." type="5" refreshedVersion="0" background="1">
    <dbPr connection="Provider=Microsoft.Mashup.OleDb.1;Data Source=$Workbook$;Location=master_keys;Extended Properties=&quot;&quot;" command="SELECT * FROM [master_keys]"/>
  </connection>
  <connection id="10" xr16:uid="{890399BA-42C9-4D44-8810-4922C86F9F6E}" keepAlive="1" name="Query - tbl_input_staging_sync" description="Connection to the 'tbl_input_staging_sync' query in the workbook." type="5" refreshedVersion="0" background="1">
    <dbPr connection="Provider=Microsoft.Mashup.OleDb.1;Data Source=$Workbook$;Location=tbl_input_staging_sync;Extended Properties=&quot;&quot;" command="SELECT * FROM [tbl_input_staging_sy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<sst xmlns="http://schemas.openxmlformats.org/spreadsheetml/2006/main" count="779" uniqueCount="353">
  <si>
    <t>Terrain &amp; Préparation</t>
  </si>
  <si>
    <t>Études &amp; administratif</t>
  </si>
  <si>
    <t>Étude de sol G2</t>
  </si>
  <si>
    <t>Permis de construire (frais dossier)</t>
  </si>
  <si>
    <t>Taxe d'aménagement (1,5%+1,30%+0,40%)</t>
  </si>
  <si>
    <t>Architecte</t>
  </si>
  <si>
    <t>Assurance DO (dommage ouvrage)</t>
  </si>
  <si>
    <t>Etude thermique RT2020</t>
  </si>
  <si>
    <t>Terrassement</t>
  </si>
  <si>
    <t>Préparation plateforme</t>
  </si>
  <si>
    <t>Fouilles fondations</t>
  </si>
  <si>
    <t>Évacuation déblais</t>
  </si>
  <si>
    <t>Remblai / mise à niveau</t>
  </si>
  <si>
    <t>Location mini-pelle / engins</t>
  </si>
  <si>
    <t>Accès chantier</t>
  </si>
  <si>
    <t>Chemin d'accès provisoire</t>
  </si>
  <si>
    <t>Empierrement</t>
  </si>
  <si>
    <t>Portail provisoire</t>
  </si>
  <si>
    <t>Clôture chantier - Signalisation</t>
  </si>
  <si>
    <t>Signalisation</t>
  </si>
  <si>
    <t>Viabilisation</t>
  </si>
  <si>
    <t>Raccordement eau</t>
  </si>
  <si>
    <t>Compteur eau</t>
  </si>
  <si>
    <t>Tranchée alimentation</t>
  </si>
  <si>
    <t>Tuyaux PEHD</t>
  </si>
  <si>
    <t>Regard compteur</t>
  </si>
  <si>
    <t>Main d'œuvre raccordement</t>
  </si>
  <si>
    <t>Raccordement électricité</t>
  </si>
  <si>
    <t>Coffret de chantier E.D.F.</t>
  </si>
  <si>
    <t>Câble alimentation</t>
  </si>
  <si>
    <t>Gaine TPC</t>
  </si>
  <si>
    <t>Tranchées</t>
  </si>
  <si>
    <t>Assainissement</t>
  </si>
  <si>
    <t>Fosse toutes eaux / microstation</t>
  </si>
  <si>
    <t>Épandage / filtre compact</t>
  </si>
  <si>
    <t>Tuyaux PVC</t>
  </si>
  <si>
    <t>Regards</t>
  </si>
  <si>
    <t>Ventilation vide sanitaire</t>
  </si>
  <si>
    <t>Télécom / fibre</t>
  </si>
  <si>
    <t>Gaine télécom</t>
  </si>
  <si>
    <t>Regard FT</t>
  </si>
  <si>
    <t>Câblage</t>
  </si>
  <si>
    <t>Raccordement opérateur</t>
  </si>
  <si>
    <t>Tranchée</t>
  </si>
  <si>
    <t>Gros œuvre</t>
  </si>
  <si>
    <t>Fondations</t>
  </si>
  <si>
    <t>Béton fondations</t>
  </si>
  <si>
    <t>Ferraillage</t>
  </si>
  <si>
    <t>M.A.L.T. Mise à la terre</t>
  </si>
  <si>
    <t>Film polyane</t>
  </si>
  <si>
    <t>Main d'œuvre maçon</t>
  </si>
  <si>
    <t>Soubassement / vide sanitaire</t>
  </si>
  <si>
    <t>Parpaings/Brique creuse terre</t>
  </si>
  <si>
    <t>Mortier</t>
  </si>
  <si>
    <t>Plancher poutrelles-Entrevous</t>
  </si>
  <si>
    <t>Treillis soudé</t>
  </si>
  <si>
    <t>Isolation plancher</t>
  </si>
  <si>
    <t>Dalle</t>
  </si>
  <si>
    <t>Béton dalle</t>
  </si>
  <si>
    <t>Treillis</t>
  </si>
  <si>
    <t>Polyane</t>
  </si>
  <si>
    <t>Isolation sous dalle</t>
  </si>
  <si>
    <t>Ragréage</t>
  </si>
  <si>
    <t>Élévation murs</t>
  </si>
  <si>
    <t>Parpaings / briques creuses terre</t>
  </si>
  <si>
    <t>Linteaux - Appuis - Seuils</t>
  </si>
  <si>
    <t>Chaînages</t>
  </si>
  <si>
    <t>Main d'œuvre</t>
  </si>
  <si>
    <t>Charpente</t>
  </si>
  <si>
    <t>Fermettes / poutres</t>
  </si>
  <si>
    <t>Traitement bois</t>
  </si>
  <si>
    <t>Isolation</t>
  </si>
  <si>
    <t>Location grue</t>
  </si>
  <si>
    <t>Couverture</t>
  </si>
  <si>
    <t>Liteaux</t>
  </si>
  <si>
    <t>Gouttières</t>
  </si>
  <si>
    <t>Zinguerie</t>
  </si>
  <si>
    <t>Menuiseries</t>
  </si>
  <si>
    <t>Fenêtres</t>
  </si>
  <si>
    <t>Porte garage</t>
  </si>
  <si>
    <t>Portes intérieures</t>
  </si>
  <si>
    <t>Pose</t>
  </si>
  <si>
    <t>Portes extérieures</t>
  </si>
  <si>
    <t>Porte d'entrée</t>
  </si>
  <si>
    <t>Poignées - Serrures</t>
  </si>
  <si>
    <t>Huisserie</t>
  </si>
  <si>
    <t>Volets</t>
  </si>
  <si>
    <t>Volets roulants</t>
  </si>
  <si>
    <t>Coffres</t>
  </si>
  <si>
    <t>Installation</t>
  </si>
  <si>
    <t>Second œuvre</t>
  </si>
  <si>
    <t>Laine de verre / roche</t>
  </si>
  <si>
    <t>Pare-vapeur</t>
  </si>
  <si>
    <t>Isolation des combles</t>
  </si>
  <si>
    <t>Isolation plancher des combles</t>
  </si>
  <si>
    <t>Cloisons</t>
  </si>
  <si>
    <t>Plaques BA13</t>
  </si>
  <si>
    <t>Rails métalliques</t>
  </si>
  <si>
    <t>Visserie</t>
  </si>
  <si>
    <t>Bande à joint</t>
  </si>
  <si>
    <t>Enduit</t>
  </si>
  <si>
    <t>Électricité</t>
  </si>
  <si>
    <t>Tableau électrique</t>
  </si>
  <si>
    <t>Réseau KNX</t>
  </si>
  <si>
    <t>Installation Photovoltaique</t>
  </si>
  <si>
    <t>Gaines ICTA + fillerie/Câbles</t>
  </si>
  <si>
    <t>Appareillage</t>
  </si>
  <si>
    <t>Plomberie</t>
  </si>
  <si>
    <t>Tuyaux PER - Cuivre</t>
  </si>
  <si>
    <t>Robinetterie</t>
  </si>
  <si>
    <t>Évacuation PVC</t>
  </si>
  <si>
    <t>Chauffage</t>
  </si>
  <si>
    <t>Pompe à chaleur + E.C.S.</t>
  </si>
  <si>
    <t>Plancher chauffant</t>
  </si>
  <si>
    <t>Climatisation</t>
  </si>
  <si>
    <t>Ventilation</t>
  </si>
  <si>
    <t>VMC simple/double flux</t>
  </si>
  <si>
    <t>Gaines</t>
  </si>
  <si>
    <t>Bouches</t>
  </si>
  <si>
    <t>Caisson</t>
  </si>
  <si>
    <t>Finitions</t>
  </si>
  <si>
    <t>Sols</t>
  </si>
  <si>
    <t>Carrelage</t>
  </si>
  <si>
    <t>Parquet</t>
  </si>
  <si>
    <t>Sous-couche</t>
  </si>
  <si>
    <t>Colle</t>
  </si>
  <si>
    <t>Plinthes</t>
  </si>
  <si>
    <t>Murs &amp; plafonds</t>
  </si>
  <si>
    <t>Peinture</t>
  </si>
  <si>
    <t>Enduit finition</t>
  </si>
  <si>
    <t>Carrelage mural</t>
  </si>
  <si>
    <t>Outils</t>
  </si>
  <si>
    <t>Cuisine</t>
  </si>
  <si>
    <t>Meubles</t>
  </si>
  <si>
    <t>Plan de travail</t>
  </si>
  <si>
    <t>Évier</t>
  </si>
  <si>
    <t>Robinet</t>
  </si>
  <si>
    <t>Électroménager</t>
  </si>
  <si>
    <t>Salle de bain</t>
  </si>
  <si>
    <t>Douche / baignoire</t>
  </si>
  <si>
    <t>Meuble vasque</t>
  </si>
  <si>
    <t>Bâti-support WC suspendu</t>
  </si>
  <si>
    <t>Accessoires</t>
  </si>
  <si>
    <t>Extérieurs</t>
  </si>
  <si>
    <t>Aménagement terrain</t>
  </si>
  <si>
    <t>Terre végétale</t>
  </si>
  <si>
    <t>Engazonnement</t>
  </si>
  <si>
    <t>Plantation</t>
  </si>
  <si>
    <t>Arrosage</t>
  </si>
  <si>
    <t>Clôture</t>
  </si>
  <si>
    <t>Terrasse</t>
  </si>
  <si>
    <t>Dalle béton</t>
  </si>
  <si>
    <t>Carrelage extérieur</t>
  </si>
  <si>
    <t>Bois terrasse</t>
  </si>
  <si>
    <t>Lambourdes</t>
  </si>
  <si>
    <t>Fixations</t>
  </si>
  <si>
    <t>Allées / accès</t>
  </si>
  <si>
    <t>Gravier</t>
  </si>
  <si>
    <t>Pavés</t>
  </si>
  <si>
    <t>Bordures</t>
  </si>
  <si>
    <t>Géotextile</t>
  </si>
  <si>
    <t>Compactage</t>
  </si>
  <si>
    <t>categorie_id</t>
  </si>
  <si>
    <t>categorie</t>
  </si>
  <si>
    <t>sous_categorie</t>
  </si>
  <si>
    <t>produit</t>
  </si>
  <si>
    <t>produit_id</t>
  </si>
  <si>
    <t>Achat terrain</t>
  </si>
  <si>
    <t>Couverture / Écran</t>
  </si>
  <si>
    <t>Façades</t>
  </si>
  <si>
    <t>input_id</t>
  </si>
  <si>
    <t>date</t>
  </si>
  <si>
    <t>type</t>
  </si>
  <si>
    <t>fournisseur</t>
  </si>
  <si>
    <t>ref</t>
  </si>
  <si>
    <t>quantite</t>
  </si>
  <si>
    <t>prix_unitaire</t>
  </si>
  <si>
    <t>is_deleted</t>
  </si>
  <si>
    <t>fichier</t>
  </si>
  <si>
    <t>source_drive</t>
  </si>
  <si>
    <t>fichier_id</t>
  </si>
  <si>
    <t>cout_total</t>
  </si>
  <si>
    <t>🏠 FORMULAIRE DE SAISIE - BUDGET CONSTRUCTION</t>
  </si>
  <si>
    <t>Cette feuille permet d’enregistrer un nouveau devis, estimation DIY (Do It Yourself) ou une facture fournisseur.
Remplissez les champs ligne par ligne en utilisant les menus déroulants lorsque disponibles.</t>
  </si>
  <si>
    <t>📝 INFORMATIONS</t>
  </si>
  <si>
    <t>type_list</t>
  </si>
  <si>
    <t>categories_list</t>
  </si>
  <si>
    <t>sous_cat_list</t>
  </si>
  <si>
    <t>produits_list</t>
  </si>
  <si>
    <t>fournisseurs_list</t>
  </si>
  <si>
    <t>upload_status</t>
  </si>
  <si>
    <t xml:space="preserve">📋  Type  </t>
  </si>
  <si>
    <t>DIY</t>
  </si>
  <si>
    <t xml:space="preserve">📁  Catégorie  </t>
  </si>
  <si>
    <t>Devis</t>
  </si>
  <si>
    <t xml:space="preserve">📂  Sous-catégorie  </t>
  </si>
  <si>
    <t>Facture</t>
  </si>
  <si>
    <t xml:space="preserve">🏷️  Produit  </t>
  </si>
  <si>
    <t xml:space="preserve">👤  Fournisseur  </t>
  </si>
  <si>
    <t xml:space="preserve">#  REF  </t>
  </si>
  <si>
    <t xml:space="preserve">🔢  Quantité  </t>
  </si>
  <si>
    <t xml:space="preserve">💰  Prix Unitaire  </t>
  </si>
  <si>
    <t xml:space="preserve">📎  Fichier  </t>
  </si>
  <si>
    <t xml:space="preserve">💬  Commentaire  </t>
  </si>
  <si>
    <t>Montant Total</t>
  </si>
  <si>
    <t>📋 Instructions de saisie</t>
  </si>
  <si>
    <t>1. Menus déroulants</t>
  </si>
  <si>
    <t>Sélectionner les valeurs via les listes déroulantes. Les listes Sous-catégorie et Produit dépendent de la catégorie choisie.</t>
  </si>
  <si>
    <t>2. Calcul automatique</t>
  </si>
  <si>
    <t>Le montant total est calculé automatiquement : Quantité × Prix unitaire.</t>
  </si>
  <si>
    <t>Le champ 'Ref' est facultatif mais recommandé (n° facture, commande, identifiant, etc.). Il vous sera utile pour effectuer une recherche rapide depuis la feuille RECHERCHE.</t>
  </si>
  <si>
    <r>
      <t xml:space="preserve">Le bouton </t>
    </r>
    <r>
      <rPr>
        <b/>
        <sz val="11"/>
        <color rgb="FF404040"/>
        <rFont val="Calibri (Body)"/>
      </rPr>
      <t>✏️ Réinitialiser</t>
    </r>
    <r>
      <rPr>
        <sz val="10"/>
        <color rgb="FF404040"/>
        <rFont val="Calibri"/>
        <family val="2"/>
        <scheme val="minor"/>
      </rPr>
      <t xml:space="preserve"> efface tous les champs du formulaire ainsi que le statut d'upload fichier. Utilisez-le pour saisir une nouvelle transaction après un enregistrement.</t>
    </r>
  </si>
  <si>
    <t>⚠️ Important</t>
  </si>
  <si>
    <r>
      <t xml:space="preserve">Après import du fichier, il est important de revenir sur le fichier Excel et de valider la transaction en cliquant sur </t>
    </r>
    <r>
      <rPr>
        <b/>
        <i/>
        <sz val="11"/>
        <color rgb="FFC00000"/>
        <rFont val="Calibri (Body)"/>
      </rPr>
      <t>+ AJOUTER ÉLÉMENT.</t>
    </r>
  </si>
  <si>
    <t>vendeur_bas</t>
  </si>
  <si>
    <t>estimation_basse</t>
  </si>
  <si>
    <t>vendeur_haut</t>
  </si>
  <si>
    <t>estimation_haute</t>
  </si>
  <si>
    <t>cout_moyen</t>
  </si>
  <si>
    <t>cout_diy</t>
  </si>
  <si>
    <t>cout_reel</t>
  </si>
  <si>
    <t>📋 Résumé des coûts</t>
  </si>
  <si>
    <t>1. Présentation</t>
  </si>
  <si>
    <t>Cette feuille affiche un résumé des coûts par produit à partir des données enregistrées dans le fichier.</t>
  </si>
  <si>
    <t>Elle sert directement à alimenter les formules du DASHBOARD.</t>
  </si>
  <si>
    <t>2. Données affichées</t>
  </si>
  <si>
    <t>Le tableau inclut : • estimations basses, moyennes et élevées • coûts DIY • coûts artisan • coûts réels enregistrés.</t>
  </si>
  <si>
    <t>3. Mise à jour automatique</t>
  </si>
  <si>
    <t>Les données sont générées automatiquement à partir des transactions et calculs du fichier.</t>
  </si>
  <si>
    <t>Cette feuille est destinée à la consultation uniquement.</t>
  </si>
  <si>
    <t>Ne pas modifier, déplacer ou supprimer.</t>
  </si>
  <si>
    <t>Select an element (click one)</t>
  </si>
  <si>
    <t>Etude de sol</t>
  </si>
  <si>
    <t>🏠 DASHBOARD BUDGET CONSTRUCTION - 176 m²</t>
  </si>
  <si>
    <t>Basse</t>
  </si>
  <si>
    <t>Surface :</t>
  </si>
  <si>
    <t>Estimation :</t>
  </si>
  <si>
    <t>Moyenne</t>
  </si>
  <si>
    <t>Haute</t>
  </si>
  <si>
    <t>Catégorie</t>
  </si>
  <si>
    <t>Sous-catégorie</t>
  </si>
  <si>
    <t>Mode</t>
  </si>
  <si>
    <t>Coût Artisan</t>
  </si>
  <si>
    <t>Coût DIY</t>
  </si>
  <si>
    <t>Total</t>
  </si>
  <si>
    <t>Coût Réel</t>
  </si>
  <si>
    <t>Écart</t>
  </si>
  <si>
    <t>Écart (%)</t>
  </si>
  <si>
    <t>📈 RÉSUMÉ PAR CATÉGORIE</t>
  </si>
  <si>
    <t>🏠 Artisan</t>
  </si>
  <si>
    <t>🔧 DIY</t>
  </si>
  <si>
    <t>Budget</t>
  </si>
  <si>
    <t>% Budget</t>
  </si>
  <si>
    <t>Réel</t>
  </si>
  <si>
    <t>TOTAL</t>
  </si>
  <si>
    <t>TOTAL PROJET</t>
  </si>
  <si>
    <t>📊 INDICATEURS CLÉS - BUDGET VS RÉEL</t>
  </si>
  <si>
    <t>💰 Budget Total</t>
  </si>
  <si>
    <t>📐 Coût/m²</t>
  </si>
  <si>
    <t>💵 Économie DIY</t>
  </si>
  <si>
    <t>🔧 Part DIY (%)</t>
  </si>
  <si>
    <t>💸 Total Réel</t>
  </si>
  <si>
    <t>📊 Écart €</t>
  </si>
  <si>
    <t>📈 Écart %</t>
  </si>
  <si>
    <t>📋 Instructions du dashboard</t>
  </si>
  <si>
    <t>1. Zones modifiables</t>
  </si>
  <si>
    <t>Seules les cellules en jaune sont destinées à la saisie utilisateur. Toutes les autres cellules, tableaux et graphiques sont calculés automatiquement. Ne pas modifier les cellules hors zones jaunes.</t>
  </si>
  <si>
    <t>2. Paramètres</t>
  </si>
  <si>
    <t>📐 Surface</t>
  </si>
  <si>
    <t>La surface est utilisée uniquement pour le calcul du coût au m².</t>
  </si>
  <si>
    <t>📊 Estimation</t>
  </si>
  <si>
    <t>Le niveau d'estimation détermine quels devis sont utilisés : • Basse → devis les moins chers • Moyenne → moyenne des devis • Haute → devis les plus élevés.</t>
  </si>
  <si>
    <t>3. Modes par sous-catégorie</t>
  </si>
  <si>
    <t>Chaque sous-catégorie peut être configurée en : • 🏠 Artisan → réalisation par artisan • 🔧 DIY → réalisation soi-même • 🧑‍🤝‍🧑 Mix → combinaison des deux. Les coûts sont recalculés automatiquement selon le mode sélectionné.</t>
  </si>
  <si>
    <t>4. Lecture du dashboard</t>
  </si>
  <si>
    <t>Les tableaux et graphiques affichent automatiquement : • les coûts prévisionnels • les dépenses réelles • les écarts budgétaires • la répartition du budget et les indicateurs clés du projet.</t>
  </si>
  <si>
    <t>Ne pas supprimer, déplacer ou modifier les formules, tableaux ou graphiques du dashboard.</t>
  </si>
  <si>
    <t>🔍 Instructions de recherche</t>
  </si>
  <si>
    <t>1. Filtres de recherche</t>
  </si>
  <si>
    <t>2. Actions</t>
  </si>
  <si>
    <t>• Remplir uniquement les filtres souhaités. Il n'est pas nécessaire de compléter tous les champs.</t>
  </si>
  <si>
    <t>• Les listes Sous-catégorie et Produit dépendent des sélections précédentes (catégorie → sous-catégorie → produit).</t>
  </si>
  <si>
    <t>• Le tableau affiche les transactions individuelles enregistrées (non agrégées).</t>
  </si>
  <si>
    <t>3. Supprimer une transaction</t>
  </si>
  <si>
    <t>💡 Exemples</t>
  </si>
  <si>
    <t>Catégorie seule → tous résultats de la catégorie | + Sous-catégorie → résultats affinés | + Produit → encore plus précis</t>
  </si>
  <si>
    <t>• Sélectionner une cellule dans la ligne à supprimer du tableau de résultats.</t>
  </si>
  <si>
    <t>Ref seule → cible directement la transaction avec cette Ref</t>
  </si>
  <si>
    <r>
      <t xml:space="preserve">• Cliquer sur le bouton </t>
    </r>
    <r>
      <rPr>
        <b/>
        <sz val="12"/>
        <color rgb="FF404040"/>
        <rFont val="Calibri"/>
        <family val="2"/>
        <scheme val="minor"/>
      </rPr>
      <t>🗑️ SUPPRIMER TRANSACTION</t>
    </r>
    <r>
      <rPr>
        <sz val="12"/>
        <color rgb="FF404040"/>
        <rFont val="Calibri"/>
        <family val="2"/>
        <scheme val="minor"/>
      </rPr>
      <t>. Une confirmation sera demandée.</t>
    </r>
  </si>
  <si>
    <t>• La transaction sera marquée comme supprimée et retirée des résultats.</t>
  </si>
  <si>
    <t>filtre</t>
  </si>
  <si>
    <t>valeur</t>
  </si>
  <si>
    <t>prix_total</t>
  </si>
  <si>
    <t>cat_list</t>
  </si>
  <si>
    <t>produit_list</t>
  </si>
  <si>
    <t>all_fournisseurs_list</t>
  </si>
  <si>
    <t>dates_list</t>
  </si>
  <si>
    <t>date_min</t>
  </si>
  <si>
    <t>date_max</t>
  </si>
  <si>
    <t>📋 Gestion des fournisseurs</t>
  </si>
  <si>
    <t>1. Référentiel fournisseurs</t>
  </si>
  <si>
    <t>Cette feuille centralise la liste des fournisseurs enregistrés dans le fichier.</t>
  </si>
  <si>
    <t>2. Ajouter un fournisseur</t>
  </si>
  <si>
    <t>Les fournisseurs ajoutés apparaissent automatiquement dans cette feuille et les listes déroulantes du fichier.</t>
  </si>
  <si>
    <t>4. Modification et suppression</t>
  </si>
  <si>
    <t>Modifier : directement dans le tableau. Supprimer : sélectionner la ligne puis suppression de ligne Excel.</t>
  </si>
  <si>
    <t>Éviter de supprimer des fournisseurs déjà utilisés dans des transactions existantes.</t>
  </si>
  <si>
    <t>adresse</t>
  </si>
  <si>
    <t>contact_principal</t>
  </si>
  <si>
    <t>tel_contact_principal</t>
  </si>
  <si>
    <t>mail</t>
  </si>
  <si>
    <t>contact_secondaire</t>
  </si>
  <si>
    <t>tel_contact_secondaire</t>
  </si>
  <si>
    <t>Commentaire</t>
  </si>
  <si>
    <t>commentaire</t>
  </si>
  <si>
    <t>ETUDE NOTARIALE</t>
  </si>
  <si>
    <t>comparison_key</t>
  </si>
  <si>
    <t>sous_produit</t>
  </si>
  <si>
    <t>ref_bas</t>
  </si>
  <si>
    <t>ref_haut</t>
  </si>
  <si>
    <t>sous_produit_id</t>
  </si>
  <si>
    <t>is_active</t>
  </si>
  <si>
    <t>3. Sous-Produits</t>
  </si>
  <si>
    <r>
      <t xml:space="preserve">Le sous-produit représente le niveau de détail le plus précis d’un produit. Plusieurs lignes avec le même sous-produit seront additionnées ensemble dans les calculs et le suivi des coûts. Cliquer sur </t>
    </r>
    <r>
      <rPr>
        <b/>
        <sz val="11"/>
        <color rgb="FF404040"/>
        <rFont val="Calibri (Body)"/>
      </rPr>
      <t>✚ Nouveau Sous-Produit</t>
    </r>
    <r>
      <rPr>
        <sz val="10"/>
        <color rgb="FF404040"/>
        <rFont val="Calibri"/>
        <family val="2"/>
        <scheme val="minor"/>
      </rPr>
      <t xml:space="preserve"> pour ajouter un nouveau sous-produit réutilisable à la liste déroulante (utile pour de futures comparaisons de prix sur le même sous-produit)</t>
    </r>
  </si>
  <si>
    <r>
      <t>Choisir un fournisseur existant ou utiliser le bouton ✚</t>
    </r>
    <r>
      <rPr>
        <b/>
        <sz val="11"/>
        <color rgb="FF404040"/>
        <rFont val="Calibri (Body)"/>
      </rPr>
      <t xml:space="preserve"> Nouveau fournisseur</t>
    </r>
    <r>
      <rPr>
        <sz val="11"/>
        <color rgb="FF404040"/>
        <rFont val="Calibri (Body)"/>
      </rPr>
      <t xml:space="preserve"> </t>
    </r>
    <r>
      <rPr>
        <sz val="10"/>
        <color rgb="FF404040"/>
        <rFont val="Calibri"/>
        <family val="2"/>
        <scheme val="minor"/>
      </rPr>
      <t>pour en créer un. Lorsqu'un nouveau fournisseur est créé, il est automatiquement ajouté dans la feuille FOURNISSEURS et devient dès lors sélectionnable via le menu déroulant.</t>
    </r>
  </si>
  <si>
    <r>
      <t xml:space="preserve">Le bouton 📎 </t>
    </r>
    <r>
      <rPr>
        <b/>
        <sz val="11"/>
        <color rgb="FF404040"/>
        <rFont val="Calibri (Body)"/>
      </rPr>
      <t>Joindre PDF</t>
    </r>
    <r>
      <rPr>
        <sz val="10"/>
        <color rgb="FF404040"/>
        <rFont val="Calibri"/>
        <family val="2"/>
        <scheme val="minor"/>
      </rPr>
      <t xml:space="preserve"> ouvre une fenêtre de sélection de fichier dans votre navigateur vous permettant d'associer un justificatif.</t>
    </r>
  </si>
  <si>
    <t>4. Fournisseur</t>
  </si>
  <si>
    <t>5. Référence</t>
  </si>
  <si>
    <t>6. PDF</t>
  </si>
  <si>
    <t>7. Réinitialiser le formulaire</t>
  </si>
  <si>
    <t xml:space="preserve">🧩 Sous-Produit  </t>
  </si>
  <si>
    <r>
      <t>• via ✚</t>
    </r>
    <r>
      <rPr>
        <b/>
        <sz val="14"/>
        <color rgb="FF404040"/>
        <rFont val="Calibri (Body)"/>
      </rPr>
      <t xml:space="preserve"> Nouveau fournisseur</t>
    </r>
    <r>
      <rPr>
        <sz val="12"/>
        <color rgb="FF404040"/>
        <rFont val="Calibri"/>
        <family val="2"/>
        <scheme val="minor"/>
      </rPr>
      <t xml:space="preserve"> (feuille INPUT)  •  ou ✚</t>
    </r>
    <r>
      <rPr>
        <b/>
        <sz val="14"/>
        <color rgb="FF404040"/>
        <rFont val="Calibri (Body)"/>
      </rPr>
      <t xml:space="preserve"> AJOUTER UN FOURNISSEUR</t>
    </r>
    <r>
      <rPr>
        <sz val="12"/>
        <color rgb="FF404040"/>
        <rFont val="Calibri"/>
        <family val="2"/>
        <scheme val="minor"/>
      </rPr>
      <t xml:space="preserve"> (cette feuille). Même système d'ajout.</t>
    </r>
  </si>
  <si>
    <r>
      <t xml:space="preserve">• Cliquer sur </t>
    </r>
    <r>
      <rPr>
        <b/>
        <sz val="12"/>
        <color rgb="FF404040"/>
        <rFont val="Calibri"/>
        <family val="2"/>
        <scheme val="minor"/>
      </rPr>
      <t>🔎 Rechercher</t>
    </r>
    <r>
      <rPr>
        <sz val="12"/>
        <color rgb="FF404040"/>
        <rFont val="Calibri"/>
        <family val="2"/>
        <scheme val="minor"/>
      </rPr>
      <t xml:space="preserve"> pour mettre à jour le tableau de résultats.</t>
    </r>
  </si>
  <si>
    <t>📋 PRODUITS</t>
  </si>
  <si>
    <t xml:space="preserve">Cette feuille est la source de données principales des différents produits pour le reste du fichier. </t>
  </si>
  <si>
    <t>Seules les catégories, sous-catégories et produits y sont affichés. Les sous-produits sont gérés séparemment via la feuille SOUS-PRODUITS</t>
  </si>
  <si>
    <t>Le tableau inclut : categorie_id, categorie, sous_categorie, produit, produit_id et unite.</t>
  </si>
  <si>
    <t>3. Mise à jour</t>
  </si>
  <si>
    <t>La mise à jour de ce tableau doit être effectuée uniquement sur demande au créateur du fichier, pour assurer l'intégrité des formules et macros</t>
  </si>
  <si>
    <r>
      <t xml:space="preserve">Ce tableau affiche les sous-catégories saisies par l'utilisateur via le bouton </t>
    </r>
    <r>
      <rPr>
        <b/>
        <sz val="12"/>
        <color rgb="FF404040"/>
        <rFont val="Calibri (Body)"/>
      </rPr>
      <t xml:space="preserve">✚ Nouveau Sous-Produit </t>
    </r>
    <r>
      <rPr>
        <sz val="12"/>
        <color rgb="FF404040"/>
        <rFont val="Calibri"/>
        <family val="2"/>
        <scheme val="minor"/>
      </rPr>
      <t>de la feuille INPUT.</t>
    </r>
  </si>
  <si>
    <t>Ces données servent à maintenir une liste saine et réutilisable de sous-catégories rattachées au même produit.</t>
  </si>
  <si>
    <t>Il est possible de mettre à jour ou supprimer ces données en manipulant le tableau directement.</t>
  </si>
  <si>
    <t>2. Ajout de sous-catégorie</t>
  </si>
  <si>
    <t>Il est possible d'ajouter une sous-catégorie directement en insérant une ligne dans le tableau,</t>
  </si>
  <si>
    <t>mais il est recommandé de passer par le bouton prévu à cet effet pour éviter toute erreur.</t>
  </si>
  <si>
    <t>A manipuler avec précaution en cas d'édition.</t>
  </si>
  <si>
    <t>NE PAS MODIFIER LA STRUCTURE DU TABLEAU NI RENOMMER LES EN-TÊTES.</t>
  </si>
  <si>
    <r>
      <rPr>
        <b/>
        <sz val="12"/>
        <color rgb="FFC00000"/>
        <rFont val="Calibri (Body)"/>
      </rPr>
      <t>⚠️ Important :</t>
    </r>
    <r>
      <rPr>
        <sz val="11"/>
        <color rgb="FFC00000"/>
        <rFont val="Calibri"/>
        <family val="2"/>
        <scheme val="minor"/>
      </rPr>
      <t xml:space="preserve"> NE PAS MODIFIER LA STRUCTURE DU TABLEAU NI RENOMMER LES EN-TÊTES.</t>
    </r>
  </si>
  <si>
    <t>DARTY</t>
  </si>
  <si>
    <t>sous_produits_list</t>
  </si>
  <si>
    <t xml:space="preserve"> </t>
  </si>
  <si>
    <t>CDISCOUNT</t>
  </si>
  <si>
    <t>Point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</si>
</sst>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\ ##0\ \€"/>
    <numFmt numFmtId="165" formatCode="0.0%"/>
    <numFmt numFmtId="166" formatCode="#,##0\ \€"/>
    <numFmt numFmtId="167" formatCode="0\ &quot;m²&quot;"/>
    <numFmt numFmtId="168" formatCode="\+#,##0\ \€;\-#,##0\ \€;0\ \€"/>
    <numFmt numFmtId="169" formatCode="\+0.0%;\-0.0%;0.0%"/>
    <numFmt numFmtId="170" formatCode="\+0.00%;\-0.00%;0.00%"/>
    <numFmt numFmtId="171" formatCode="0#&quot; &quot;##&quot; &quot;##&quot; &quot;##&quot; &quot;##"/>
  </numFmts>
  <fonts count="4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11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sz val="11"/>
      <color rgb="FF404040"/>
      <name val="Calibri"/>
      <family val="2"/>
      <scheme val="minor"/>
    </font>
    <font>
      <b/>
      <sz val="14"/>
      <color rgb="FFED7D31"/>
      <name val="Calibri"/>
      <family val="2"/>
      <scheme val="minor"/>
    </font>
    <font>
      <i/>
      <sz val="9"/>
      <color rgb="FFFFFFFF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2E75B6"/>
      <name val="Calibri"/>
      <family val="2"/>
      <scheme val="minor"/>
    </font>
    <font>
      <sz val="10"/>
      <color rgb="FF404040"/>
      <name val="Calibri"/>
      <family val="2"/>
      <scheme val="minor"/>
    </font>
    <font>
      <b/>
      <sz val="11"/>
      <color rgb="FF404040"/>
      <name val="Calibri (Body)"/>
    </font>
    <font>
      <sz val="11"/>
      <color rgb="FF404040"/>
      <name val="Calibri (Body)"/>
    </font>
    <font>
      <b/>
      <sz val="12"/>
      <color rgb="FF2E75B6"/>
      <name val="Calibri"/>
      <family val="2"/>
      <scheme val="minor"/>
    </font>
    <font>
      <sz val="12"/>
      <color rgb="FF40404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i/>
      <sz val="12"/>
      <color rgb="FFC00000"/>
      <name val="Calibri"/>
      <family val="2"/>
      <scheme val="minor"/>
    </font>
    <font>
      <i/>
      <sz val="12"/>
      <color rgb="FF404040"/>
      <name val="Calibri"/>
      <family val="2"/>
      <scheme val="minor"/>
    </font>
    <font>
      <b/>
      <sz val="14"/>
      <color rgb="FF404040"/>
      <name val="Calibri (Body)"/>
    </font>
    <font>
      <b/>
      <sz val="11"/>
      <color rgb="FFC00000"/>
      <name val="Calibri"/>
      <family val="2"/>
      <scheme val="minor"/>
    </font>
    <font>
      <b/>
      <sz val="12"/>
      <color rgb="FF40404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b/>
      <i/>
      <sz val="11"/>
      <color rgb="FFC00000"/>
      <name val="Calibri (Body)"/>
    </font>
    <font>
      <sz val="16"/>
      <color rgb="FF000000"/>
      <name val="Calibri"/>
      <family val="2"/>
    </font>
    <font>
      <sz val="12"/>
      <color rgb="FFC00000"/>
      <name val="Calibri"/>
      <family val="2"/>
    </font>
    <font>
      <b/>
      <sz val="16"/>
      <color rgb="FF1F497D"/>
      <name val="Microsoft YaHei"/>
      <family val="2"/>
      <charset val="134"/>
    </font>
    <font>
      <b/>
      <sz val="16"/>
      <color rgb="FF1F497D"/>
      <name val="Aptos Narrow"/>
    </font>
    <font>
      <sz val="12"/>
      <color rgb="FF000000"/>
      <name val="Aptos Narrow"/>
    </font>
    <font>
      <sz val="10"/>
      <color rgb="FF000000"/>
      <name val="Aptos Narrow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404040"/>
      <name val="Calibri (Body)"/>
    </font>
    <font>
      <sz val="11"/>
      <color rgb="FFC00000"/>
      <name val="Calibri"/>
      <family val="2"/>
      <scheme val="minor"/>
    </font>
    <font>
      <b/>
      <sz val="12"/>
      <color rgb="FFC00000"/>
      <name val="Calibri (Body)"/>
    </font>
  </fonts>
  <fills count="18">
    <fill>
      <patternFill patternType="none"/>
    </fill>
    <fill>
      <patternFill patternType="gray125"/>
    </fill>
    <fill>
      <patternFill patternType="solid">
        <fgColor rgb="FFD9E2F3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D6E3F8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D6E3F8"/>
        <bgColor rgb="FF000000"/>
      </patternFill>
    </fill>
    <fill>
      <patternFill patternType="solid">
        <fgColor rgb="FFF8FAFC"/>
        <bgColor rgb="FF000000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1F4E79"/>
      </left>
      <right/>
      <top style="thick">
        <color rgb="FF1F4E79"/>
      </top>
      <bottom/>
      <diagonal/>
    </border>
    <border>
      <left style="thick">
        <color rgb="FF1F4E79"/>
      </left>
      <right/>
      <top/>
      <bottom/>
      <diagonal/>
    </border>
    <border>
      <left style="thick">
        <color rgb="FF1F4E79"/>
      </left>
      <right/>
      <top style="thin">
        <color rgb="FFBDD7EE"/>
      </top>
      <bottom style="thin">
        <color rgb="FFBDD7EE"/>
      </bottom>
      <diagonal/>
    </border>
    <border>
      <left style="thick">
        <color rgb="FF1F4E79"/>
      </left>
      <right/>
      <top style="thin">
        <color rgb="FFBDD7EE"/>
      </top>
      <bottom/>
      <diagonal/>
    </border>
    <border>
      <left style="medium">
        <color indexed="64"/>
      </left>
      <right style="medium">
        <color indexed="64"/>
      </right>
      <top style="thin">
        <color rgb="FFBDD7EE"/>
      </top>
      <bottom/>
      <diagonal/>
    </border>
    <border>
      <left style="medium">
        <color indexed="64"/>
      </left>
      <right style="medium">
        <color indexed="64"/>
      </right>
      <top style="thin">
        <color rgb="FFBDD7EE"/>
      </top>
      <bottom style="thin">
        <color rgb="FFBDD7EE"/>
      </bottom>
      <diagonal/>
    </border>
    <border>
      <left style="medium">
        <color indexed="64"/>
      </left>
      <right style="medium">
        <color indexed="64"/>
      </right>
      <top style="thin">
        <color rgb="FFED7D3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ED7D31"/>
      </bottom>
      <diagonal/>
    </border>
    <border>
      <left/>
      <right style="medium">
        <color indexed="64"/>
      </right>
      <top style="thick">
        <color rgb="FF1F4E79"/>
      </top>
      <bottom/>
      <diagonal/>
    </border>
    <border>
      <left/>
      <right style="thin">
        <color theme="0"/>
      </right>
      <top/>
      <bottom/>
      <diagonal/>
    </border>
    <border>
      <left style="thick">
        <color rgb="FF1F4E79"/>
      </left>
      <right style="medium">
        <color indexed="64"/>
      </right>
      <top style="thin">
        <color theme="0"/>
      </top>
      <bottom style="thin">
        <color rgb="FFBDD7EE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/>
      <diagonal/>
    </border>
    <border>
      <left style="thin">
        <color rgb="FFB4C6E7"/>
      </left>
      <right/>
      <top/>
      <bottom/>
      <diagonal/>
    </border>
    <border>
      <left/>
      <right style="thin">
        <color rgb="FFB4C6E7"/>
      </right>
      <top/>
      <bottom/>
      <diagonal/>
    </border>
    <border>
      <left style="thin">
        <color rgb="FFB4C6E7"/>
      </left>
      <right/>
      <top style="thin">
        <color rgb="FFB4C6E7"/>
      </top>
      <bottom/>
      <diagonal/>
    </border>
    <border>
      <left/>
      <right style="thin">
        <color rgb="FFB4C6E7"/>
      </right>
      <top style="thin">
        <color rgb="FFB4C6E7"/>
      </top>
      <bottom/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/>
      <right/>
      <top style="thin">
        <color rgb="FFB4C6E7"/>
      </top>
      <bottom/>
      <diagonal/>
    </border>
    <border>
      <left/>
      <right/>
      <top/>
      <bottom style="thin">
        <color rgb="FFB4C6E7"/>
      </bottom>
      <diagonal/>
    </border>
    <border>
      <left/>
      <right style="thin">
        <color rgb="FF4472C4"/>
      </right>
      <top/>
      <bottom/>
      <diagonal/>
    </border>
    <border>
      <left/>
      <right/>
      <top/>
      <bottom style="thin">
        <color rgb="FF4472C4"/>
      </bottom>
      <diagonal/>
    </border>
    <border>
      <left/>
      <right style="thin">
        <color rgb="FF4472C4"/>
      </right>
      <top/>
      <bottom style="thin">
        <color rgb="FF4472C4"/>
      </bottom>
      <diagonal/>
    </border>
    <border>
      <left/>
      <right/>
      <top style="thin">
        <color rgb="FF4472C4"/>
      </top>
      <bottom/>
      <diagonal/>
    </border>
    <border>
      <left style="thin">
        <color rgb="FF4472C4"/>
      </left>
      <right/>
      <top style="thin">
        <color rgb="FF4472C4"/>
      </top>
      <bottom/>
      <diagonal/>
    </border>
    <border>
      <left style="thin">
        <color rgb="FF4472C4"/>
      </left>
      <right/>
      <top/>
      <bottom/>
      <diagonal/>
    </border>
    <border>
      <left style="thin">
        <color rgb="FF4472C4"/>
      </left>
      <right/>
      <top/>
      <bottom style="thin">
        <color rgb="FF4472C4"/>
      </bottom>
      <diagonal/>
    </border>
    <border>
      <left/>
      <right style="thin">
        <color rgb="FF4472C4"/>
      </right>
      <top style="thin">
        <color rgb="FF4472C4"/>
      </top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207">
    <xf numFmtId="0" fontId="0" fillId="0" borderId="0" xfId="0"/>
    <xf numFmtId="166" fontId="4" fillId="0" borderId="0" xfId="0" applyNumberFormat="1" applyFont="1" applyAlignment="1">
      <alignment horizontal="center"/>
    </xf>
    <xf numFmtId="0" fontId="3" fillId="4" borderId="0" xfId="0" applyFont="1" applyFill="1"/>
    <xf numFmtId="0" fontId="4" fillId="0" borderId="0" xfId="0" applyFont="1" applyAlignment="1">
      <alignment horizontal="center"/>
    </xf>
    <xf numFmtId="166" fontId="7" fillId="0" borderId="0" xfId="0" applyNumberFormat="1" applyFont="1" applyAlignment="1">
      <alignment horizontal="center"/>
    </xf>
    <xf numFmtId="9" fontId="4" fillId="0" borderId="0" xfId="1" applyFont="1" applyAlignment="1">
      <alignment horizontal="center"/>
    </xf>
    <xf numFmtId="164" fontId="4" fillId="0" borderId="0" xfId="0" applyNumberFormat="1" applyFont="1" applyAlignment="1">
      <alignment horizontal="center"/>
    </xf>
    <xf numFmtId="168" fontId="4" fillId="0" borderId="0" xfId="0" applyNumberFormat="1" applyFont="1" applyAlignment="1">
      <alignment horizontal="center"/>
    </xf>
    <xf numFmtId="169" fontId="4" fillId="0" borderId="0" xfId="0" applyNumberFormat="1" applyFont="1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horizontal="right"/>
    </xf>
    <xf numFmtId="164" fontId="9" fillId="4" borderId="0" xfId="0" applyNumberFormat="1" applyFont="1" applyFill="1"/>
    <xf numFmtId="165" fontId="9" fillId="4" borderId="0" xfId="0" applyNumberFormat="1" applyFont="1" applyFill="1"/>
    <xf numFmtId="0" fontId="5" fillId="4" borderId="6" xfId="0" applyFont="1" applyFill="1" applyBorder="1"/>
    <xf numFmtId="0" fontId="5" fillId="4" borderId="1" xfId="0" applyFont="1" applyFill="1" applyBorder="1"/>
    <xf numFmtId="164" fontId="5" fillId="4" borderId="1" xfId="0" applyNumberFormat="1" applyFont="1" applyFill="1" applyBorder="1"/>
    <xf numFmtId="168" fontId="5" fillId="4" borderId="1" xfId="0" applyNumberFormat="1" applyFont="1" applyFill="1" applyBorder="1"/>
    <xf numFmtId="170" fontId="5" fillId="4" borderId="7" xfId="1" applyNumberFormat="1" applyFont="1" applyFill="1" applyBorder="1"/>
    <xf numFmtId="168" fontId="9" fillId="4" borderId="0" xfId="0" applyNumberFormat="1" applyFont="1" applyFill="1"/>
    <xf numFmtId="0" fontId="2" fillId="8" borderId="3" xfId="0" applyFont="1" applyFill="1" applyBorder="1" applyAlignment="1">
      <alignment horizontal="right"/>
    </xf>
    <xf numFmtId="167" fontId="2" fillId="6" borderId="8" xfId="0" applyNumberFormat="1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14" fontId="0" fillId="0" borderId="0" xfId="0" applyNumberFormat="1"/>
    <xf numFmtId="0" fontId="3" fillId="3" borderId="11" xfId="0" applyFont="1" applyFill="1" applyBorder="1" applyAlignment="1">
      <alignment horizontal="right" vertical="center"/>
    </xf>
    <xf numFmtId="0" fontId="3" fillId="3" borderId="12" xfId="0" applyFont="1" applyFill="1" applyBorder="1" applyAlignment="1">
      <alignment horizontal="right" vertical="center"/>
    </xf>
    <xf numFmtId="0" fontId="12" fillId="13" borderId="13" xfId="0" applyFont="1" applyFill="1" applyBorder="1" applyAlignment="1">
      <alignment horizontal="left" vertical="center"/>
    </xf>
    <xf numFmtId="0" fontId="12" fillId="10" borderId="13" xfId="0" applyFont="1" applyFill="1" applyBorder="1" applyAlignment="1">
      <alignment horizontal="left" vertical="center"/>
    </xf>
    <xf numFmtId="0" fontId="12" fillId="13" borderId="14" xfId="0" applyFont="1" applyFill="1" applyBorder="1" applyAlignment="1">
      <alignment horizontal="left" vertical="center"/>
    </xf>
    <xf numFmtId="0" fontId="0" fillId="0" borderId="4" xfId="0" applyBorder="1"/>
    <xf numFmtId="0" fontId="3" fillId="11" borderId="15" xfId="0" applyFont="1" applyFill="1" applyBorder="1" applyAlignment="1">
      <alignment horizontal="center" vertical="center"/>
    </xf>
    <xf numFmtId="164" fontId="13" fillId="12" borderId="16" xfId="0" applyNumberFormat="1" applyFont="1" applyFill="1" applyBorder="1" applyAlignment="1">
      <alignment horizontal="center" vertical="center"/>
    </xf>
    <xf numFmtId="0" fontId="0" fillId="0" borderId="18" xfId="0" applyBorder="1"/>
    <xf numFmtId="0" fontId="3" fillId="3" borderId="19" xfId="0" applyFont="1" applyFill="1" applyBorder="1" applyAlignment="1">
      <alignment horizontal="right" vertical="center"/>
    </xf>
    <xf numFmtId="164" fontId="12" fillId="13" borderId="13" xfId="0" applyNumberFormat="1" applyFont="1" applyFill="1" applyBorder="1" applyAlignment="1">
      <alignment horizontal="left" vertical="center"/>
    </xf>
    <xf numFmtId="2" fontId="12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wrapText="1"/>
    </xf>
    <xf numFmtId="171" fontId="0" fillId="0" borderId="0" xfId="0" applyNumberFormat="1"/>
    <xf numFmtId="0" fontId="0" fillId="0" borderId="20" xfId="0" applyBorder="1"/>
    <xf numFmtId="164" fontId="0" fillId="0" borderId="21" xfId="0" applyNumberFormat="1" applyBorder="1"/>
    <xf numFmtId="165" fontId="0" fillId="0" borderId="21" xfId="0" applyNumberFormat="1" applyBorder="1"/>
    <xf numFmtId="168" fontId="0" fillId="0" borderId="22" xfId="0" applyNumberFormat="1" applyBorder="1"/>
    <xf numFmtId="0" fontId="0" fillId="0" borderId="23" xfId="0" applyBorder="1"/>
    <xf numFmtId="164" fontId="0" fillId="0" borderId="24" xfId="0" applyNumberFormat="1" applyBorder="1"/>
    <xf numFmtId="165" fontId="0" fillId="0" borderId="24" xfId="0" applyNumberFormat="1" applyBorder="1"/>
    <xf numFmtId="168" fontId="0" fillId="0" borderId="25" xfId="0" applyNumberFormat="1" applyBorder="1"/>
    <xf numFmtId="0" fontId="0" fillId="0" borderId="26" xfId="0" applyBorder="1"/>
    <xf numFmtId="164" fontId="0" fillId="0" borderId="27" xfId="0" applyNumberFormat="1" applyBorder="1"/>
    <xf numFmtId="165" fontId="0" fillId="0" borderId="27" xfId="0" applyNumberFormat="1" applyBorder="1"/>
    <xf numFmtId="168" fontId="0" fillId="0" borderId="28" xfId="0" applyNumberFormat="1" applyBorder="1"/>
    <xf numFmtId="0" fontId="0" fillId="5" borderId="29" xfId="0" applyFill="1" applyBorder="1"/>
    <xf numFmtId="0" fontId="0" fillId="5" borderId="30" xfId="0" applyFill="1" applyBorder="1"/>
    <xf numFmtId="0" fontId="0" fillId="6" borderId="30" xfId="0" applyFill="1" applyBorder="1" applyAlignment="1">
      <alignment horizontal="center"/>
    </xf>
    <xf numFmtId="164" fontId="0" fillId="5" borderId="30" xfId="0" applyNumberFormat="1" applyFill="1" applyBorder="1"/>
    <xf numFmtId="168" fontId="0" fillId="5" borderId="30" xfId="0" applyNumberFormat="1" applyFill="1" applyBorder="1"/>
    <xf numFmtId="170" fontId="0" fillId="5" borderId="31" xfId="1" applyNumberFormat="1" applyFont="1" applyFill="1" applyBorder="1"/>
    <xf numFmtId="0" fontId="0" fillId="0" borderId="32" xfId="0" applyBorder="1"/>
    <xf numFmtId="0" fontId="0" fillId="0" borderId="33" xfId="0" applyBorder="1"/>
    <xf numFmtId="0" fontId="0" fillId="6" borderId="33" xfId="0" applyFill="1" applyBorder="1" applyAlignment="1">
      <alignment horizontal="center"/>
    </xf>
    <xf numFmtId="164" fontId="0" fillId="0" borderId="33" xfId="0" applyNumberFormat="1" applyBorder="1"/>
    <xf numFmtId="168" fontId="0" fillId="0" borderId="33" xfId="0" applyNumberFormat="1" applyBorder="1"/>
    <xf numFmtId="170" fontId="0" fillId="0" borderId="34" xfId="1" applyNumberFormat="1" applyFont="1" applyFill="1" applyBorder="1"/>
    <xf numFmtId="0" fontId="0" fillId="5" borderId="32" xfId="0" applyFill="1" applyBorder="1"/>
    <xf numFmtId="0" fontId="0" fillId="5" borderId="33" xfId="0" applyFill="1" applyBorder="1"/>
    <xf numFmtId="164" fontId="0" fillId="5" borderId="33" xfId="0" applyNumberFormat="1" applyFill="1" applyBorder="1"/>
    <xf numFmtId="168" fontId="0" fillId="5" borderId="33" xfId="0" applyNumberFormat="1" applyFill="1" applyBorder="1"/>
    <xf numFmtId="170" fontId="0" fillId="5" borderId="34" xfId="1" applyNumberFormat="1" applyFont="1" applyFill="1" applyBorder="1"/>
    <xf numFmtId="0" fontId="0" fillId="5" borderId="35" xfId="0" applyFill="1" applyBorder="1"/>
    <xf numFmtId="0" fontId="0" fillId="5" borderId="36" xfId="0" applyFill="1" applyBorder="1"/>
    <xf numFmtId="0" fontId="0" fillId="6" borderId="36" xfId="0" applyFill="1" applyBorder="1" applyAlignment="1">
      <alignment horizontal="center"/>
    </xf>
    <xf numFmtId="164" fontId="0" fillId="5" borderId="36" xfId="0" applyNumberFormat="1" applyFill="1" applyBorder="1"/>
    <xf numFmtId="168" fontId="0" fillId="5" borderId="36" xfId="0" applyNumberFormat="1" applyFill="1" applyBorder="1"/>
    <xf numFmtId="170" fontId="0" fillId="5" borderId="37" xfId="1" applyNumberFormat="1" applyFont="1" applyFill="1" applyBorder="1"/>
    <xf numFmtId="166" fontId="7" fillId="0" borderId="24" xfId="0" applyNumberFormat="1" applyFont="1" applyBorder="1" applyAlignment="1">
      <alignment horizontal="center"/>
    </xf>
    <xf numFmtId="166" fontId="4" fillId="0" borderId="24" xfId="0" applyNumberFormat="1" applyFont="1" applyBorder="1" applyAlignment="1">
      <alignment horizontal="center"/>
    </xf>
    <xf numFmtId="164" fontId="4" fillId="0" borderId="24" xfId="0" applyNumberFormat="1" applyFont="1" applyBorder="1" applyAlignment="1">
      <alignment horizontal="center"/>
    </xf>
    <xf numFmtId="9" fontId="4" fillId="0" borderId="24" xfId="1" applyFont="1" applyBorder="1" applyAlignment="1">
      <alignment horizontal="center"/>
    </xf>
    <xf numFmtId="170" fontId="4" fillId="0" borderId="24" xfId="0" applyNumberFormat="1" applyFont="1" applyBorder="1" applyAlignment="1">
      <alignment horizontal="center"/>
    </xf>
    <xf numFmtId="0" fontId="2" fillId="2" borderId="24" xfId="0" applyFont="1" applyFill="1" applyBorder="1" applyAlignment="1">
      <alignment horizontal="center"/>
    </xf>
    <xf numFmtId="0" fontId="2" fillId="7" borderId="24" xfId="0" applyFont="1" applyFill="1" applyBorder="1" applyAlignment="1">
      <alignment horizontal="center"/>
    </xf>
    <xf numFmtId="0" fontId="0" fillId="15" borderId="38" xfId="0" applyFill="1" applyBorder="1"/>
    <xf numFmtId="0" fontId="0" fillId="15" borderId="39" xfId="0" applyFill="1" applyBorder="1"/>
    <xf numFmtId="0" fontId="0" fillId="15" borderId="43" xfId="0" applyFill="1" applyBorder="1"/>
    <xf numFmtId="0" fontId="0" fillId="15" borderId="39" xfId="0" applyFill="1" applyBorder="1" applyAlignment="1">
      <alignment vertical="center"/>
    </xf>
    <xf numFmtId="0" fontId="0" fillId="15" borderId="38" xfId="0" applyFill="1" applyBorder="1" applyAlignment="1">
      <alignment horizontal="left" vertical="center" indent="1"/>
    </xf>
    <xf numFmtId="0" fontId="18" fillId="15" borderId="38" xfId="0" applyFont="1" applyFill="1" applyBorder="1" applyAlignment="1">
      <alignment horizontal="left" vertical="center" indent="1"/>
    </xf>
    <xf numFmtId="0" fontId="0" fillId="15" borderId="0" xfId="0" applyFill="1"/>
    <xf numFmtId="0" fontId="17" fillId="15" borderId="38" xfId="0" applyFont="1" applyFill="1" applyBorder="1"/>
    <xf numFmtId="0" fontId="0" fillId="15" borderId="45" xfId="0" applyFill="1" applyBorder="1"/>
    <xf numFmtId="0" fontId="23" fillId="15" borderId="38" xfId="0" applyFont="1" applyFill="1" applyBorder="1"/>
    <xf numFmtId="0" fontId="1" fillId="15" borderId="0" xfId="0" applyFont="1" applyFill="1"/>
    <xf numFmtId="0" fontId="1" fillId="15" borderId="39" xfId="0" applyFont="1" applyFill="1" applyBorder="1"/>
    <xf numFmtId="0" fontId="23" fillId="15" borderId="38" xfId="0" applyFont="1" applyFill="1" applyBorder="1" applyAlignment="1">
      <alignment horizontal="left"/>
    </xf>
    <xf numFmtId="0" fontId="1" fillId="15" borderId="38" xfId="0" applyFont="1" applyFill="1" applyBorder="1"/>
    <xf numFmtId="0" fontId="0" fillId="15" borderId="39" xfId="0" applyFill="1" applyBorder="1" applyAlignment="1">
      <alignment horizontal="left" vertical="center" indent="1"/>
    </xf>
    <xf numFmtId="0" fontId="23" fillId="15" borderId="0" xfId="0" applyFont="1" applyFill="1" applyAlignment="1">
      <alignment wrapText="1"/>
    </xf>
    <xf numFmtId="0" fontId="23" fillId="15" borderId="39" xfId="0" applyFont="1" applyFill="1" applyBorder="1" applyAlignment="1">
      <alignment wrapText="1"/>
    </xf>
    <xf numFmtId="0" fontId="25" fillId="15" borderId="38" xfId="0" applyFont="1" applyFill="1" applyBorder="1"/>
    <xf numFmtId="0" fontId="25" fillId="15" borderId="0" xfId="0" applyFont="1" applyFill="1"/>
    <xf numFmtId="0" fontId="25" fillId="15" borderId="39" xfId="0" applyFont="1" applyFill="1" applyBorder="1"/>
    <xf numFmtId="0" fontId="0" fillId="0" borderId="38" xfId="0" applyBorder="1"/>
    <xf numFmtId="0" fontId="28" fillId="0" borderId="38" xfId="0" applyFont="1" applyBorder="1"/>
    <xf numFmtId="0" fontId="0" fillId="0" borderId="39" xfId="0" applyBorder="1"/>
    <xf numFmtId="0" fontId="25" fillId="15" borderId="42" xfId="0" applyFont="1" applyFill="1" applyBorder="1"/>
    <xf numFmtId="0" fontId="25" fillId="15" borderId="45" xfId="0" applyFont="1" applyFill="1" applyBorder="1"/>
    <xf numFmtId="0" fontId="25" fillId="15" borderId="43" xfId="0" applyFont="1" applyFill="1" applyBorder="1"/>
    <xf numFmtId="0" fontId="22" fillId="15" borderId="38" xfId="0" applyFont="1" applyFill="1" applyBorder="1"/>
    <xf numFmtId="0" fontId="24" fillId="15" borderId="38" xfId="0" applyFont="1" applyFill="1" applyBorder="1"/>
    <xf numFmtId="0" fontId="1" fillId="15" borderId="45" xfId="0" applyFont="1" applyFill="1" applyBorder="1"/>
    <xf numFmtId="0" fontId="0" fillId="0" borderId="0" xfId="0" applyAlignment="1">
      <alignment horizontal="center" vertical="center"/>
    </xf>
    <xf numFmtId="0" fontId="23" fillId="15" borderId="0" xfId="0" applyFont="1" applyFill="1"/>
    <xf numFmtId="0" fontId="17" fillId="15" borderId="0" xfId="0" applyFont="1" applyFill="1"/>
    <xf numFmtId="0" fontId="22" fillId="15" borderId="0" xfId="0" applyFont="1" applyFill="1" applyAlignment="1">
      <alignment horizontal="right"/>
    </xf>
    <xf numFmtId="0" fontId="26" fillId="15" borderId="47" xfId="0" quotePrefix="1" applyFont="1" applyFill="1" applyBorder="1"/>
    <xf numFmtId="0" fontId="0" fillId="15" borderId="47" xfId="0" applyFill="1" applyBorder="1"/>
    <xf numFmtId="0" fontId="0" fillId="0" borderId="47" xfId="0" applyBorder="1"/>
    <xf numFmtId="0" fontId="22" fillId="15" borderId="51" xfId="0" applyFont="1" applyFill="1" applyBorder="1"/>
    <xf numFmtId="0" fontId="23" fillId="15" borderId="51" xfId="0" applyFont="1" applyFill="1" applyBorder="1"/>
    <xf numFmtId="0" fontId="1" fillId="15" borderId="51" xfId="0" applyFont="1" applyFill="1" applyBorder="1"/>
    <xf numFmtId="0" fontId="23" fillId="15" borderId="52" xfId="0" applyFont="1" applyFill="1" applyBorder="1"/>
    <xf numFmtId="0" fontId="0" fillId="0" borderId="46" xfId="0" applyBorder="1"/>
    <xf numFmtId="0" fontId="0" fillId="0" borderId="48" xfId="0" applyBorder="1"/>
    <xf numFmtId="0" fontId="0" fillId="0" borderId="0" xfId="0" quotePrefix="1" applyAlignment="1">
      <alignment vertical="center"/>
    </xf>
    <xf numFmtId="0" fontId="7" fillId="14" borderId="40" xfId="0" applyFont="1" applyFill="1" applyBorder="1" applyAlignment="1">
      <alignment vertical="center"/>
    </xf>
    <xf numFmtId="0" fontId="7" fillId="14" borderId="44" xfId="0" applyFont="1" applyFill="1" applyBorder="1" applyAlignment="1">
      <alignment vertical="center"/>
    </xf>
    <xf numFmtId="0" fontId="7" fillId="14" borderId="41" xfId="0" applyFont="1" applyFill="1" applyBorder="1" applyAlignment="1">
      <alignment vertical="center"/>
    </xf>
    <xf numFmtId="0" fontId="19" fillId="15" borderId="38" xfId="0" applyFont="1" applyFill="1" applyBorder="1" applyAlignment="1">
      <alignment horizontal="left" vertical="center" wrapText="1"/>
    </xf>
    <xf numFmtId="0" fontId="19" fillId="15" borderId="39" xfId="0" applyFont="1" applyFill="1" applyBorder="1" applyAlignment="1">
      <alignment horizontal="left" vertical="center" wrapText="1"/>
    </xf>
    <xf numFmtId="0" fontId="7" fillId="16" borderId="40" xfId="0" applyFont="1" applyFill="1" applyBorder="1" applyAlignment="1">
      <alignment vertical="center"/>
    </xf>
    <xf numFmtId="0" fontId="7" fillId="16" borderId="44" xfId="0" applyFont="1" applyFill="1" applyBorder="1" applyAlignment="1">
      <alignment vertical="center"/>
    </xf>
    <xf numFmtId="0" fontId="7" fillId="16" borderId="41" xfId="0" applyFont="1" applyFill="1" applyBorder="1" applyAlignment="1">
      <alignment vertical="center"/>
    </xf>
    <xf numFmtId="0" fontId="38" fillId="17" borderId="38" xfId="0" applyFont="1" applyFill="1" applyBorder="1"/>
    <xf numFmtId="0" fontId="38" fillId="17" borderId="0" xfId="0" applyFont="1" applyFill="1"/>
    <xf numFmtId="0" fontId="38" fillId="17" borderId="39" xfId="0" applyFont="1" applyFill="1" applyBorder="1"/>
    <xf numFmtId="0" fontId="22" fillId="17" borderId="0" xfId="0" applyFont="1" applyFill="1"/>
    <xf numFmtId="0" fontId="22" fillId="17" borderId="38" xfId="0" applyFont="1" applyFill="1" applyBorder="1"/>
    <xf numFmtId="0" fontId="39" fillId="17" borderId="0" xfId="0" applyFont="1" applyFill="1"/>
    <xf numFmtId="0" fontId="39" fillId="17" borderId="39" xfId="0" applyFont="1" applyFill="1" applyBorder="1"/>
    <xf numFmtId="0" fontId="23" fillId="17" borderId="0" xfId="0" applyFont="1" applyFill="1" applyAlignment="1">
      <alignment horizontal="left"/>
    </xf>
    <xf numFmtId="0" fontId="23" fillId="17" borderId="38" xfId="0" applyFont="1" applyFill="1" applyBorder="1" applyAlignment="1">
      <alignment horizontal="left"/>
    </xf>
    <xf numFmtId="0" fontId="23" fillId="17" borderId="39" xfId="0" applyFont="1" applyFill="1" applyBorder="1" applyAlignment="1">
      <alignment horizontal="left"/>
    </xf>
    <xf numFmtId="0" fontId="23" fillId="17" borderId="0" xfId="0" applyFont="1" applyFill="1"/>
    <xf numFmtId="0" fontId="23" fillId="17" borderId="38" xfId="0" applyFont="1" applyFill="1" applyBorder="1"/>
    <xf numFmtId="0" fontId="23" fillId="17" borderId="39" xfId="0" applyFont="1" applyFill="1" applyBorder="1"/>
    <xf numFmtId="0" fontId="39" fillId="17" borderId="38" xfId="0" applyFont="1" applyFill="1" applyBorder="1"/>
    <xf numFmtId="0" fontId="24" fillId="17" borderId="0" xfId="0" applyFont="1" applyFill="1"/>
    <xf numFmtId="0" fontId="24" fillId="17" borderId="38" xfId="0" applyFont="1" applyFill="1" applyBorder="1"/>
    <xf numFmtId="0" fontId="25" fillId="17" borderId="0" xfId="0" applyFont="1" applyFill="1"/>
    <xf numFmtId="0" fontId="25" fillId="17" borderId="38" xfId="0" applyFont="1" applyFill="1" applyBorder="1"/>
    <xf numFmtId="0" fontId="25" fillId="17" borderId="39" xfId="0" applyFont="1" applyFill="1" applyBorder="1"/>
    <xf numFmtId="0" fontId="25" fillId="17" borderId="42" xfId="0" applyFont="1" applyFill="1" applyBorder="1"/>
    <xf numFmtId="0" fontId="25" fillId="17" borderId="45" xfId="0" applyFont="1" applyFill="1" applyBorder="1"/>
    <xf numFmtId="0" fontId="25" fillId="17" borderId="43" xfId="0" applyFont="1" applyFill="1" applyBorder="1"/>
    <xf numFmtId="0" fontId="41" fillId="15" borderId="47" xfId="0" applyFont="1" applyFill="1" applyBorder="1"/>
    <xf numFmtId="0" fontId="16" fillId="0" borderId="0" xfId="2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6" fillId="0" borderId="0" xfId="2"/>
    <xf numFmtId="164" fontId="0" fillId="0" borderId="0" xfId="0" applyNumberFormat="1"/>
    <xf numFmtId="0" fontId="30" fillId="0" borderId="42" xfId="0" applyFont="1" applyBorder="1" applyAlignment="1">
      <alignment wrapText="1"/>
    </xf>
    <xf numFmtId="0" fontId="30" fillId="0" borderId="43" xfId="0" applyFont="1" applyBorder="1" applyAlignment="1">
      <alignment wrapText="1"/>
    </xf>
    <xf numFmtId="0" fontId="6" fillId="4" borderId="1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/>
    </xf>
    <xf numFmtId="0" fontId="11" fillId="9" borderId="10" xfId="0" applyFont="1" applyFill="1" applyBorder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4" fillId="4" borderId="9" xfId="0" applyFont="1" applyFill="1" applyBorder="1" applyAlignment="1">
      <alignment horizontal="center" vertical="center"/>
    </xf>
    <xf numFmtId="0" fontId="14" fillId="4" borderId="17" xfId="0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left" vertical="center" indent="1"/>
    </xf>
    <xf numFmtId="0" fontId="11" fillId="14" borderId="41" xfId="0" applyFont="1" applyFill="1" applyBorder="1" applyAlignment="1">
      <alignment vertical="center"/>
    </xf>
    <xf numFmtId="0" fontId="19" fillId="15" borderId="38" xfId="0" applyFont="1" applyFill="1" applyBorder="1" applyAlignment="1">
      <alignment horizontal="left" vertical="center" wrapText="1"/>
    </xf>
    <xf numFmtId="0" fontId="19" fillId="15" borderId="39" xfId="0" applyFont="1" applyFill="1" applyBorder="1" applyAlignment="1">
      <alignment horizontal="left" vertical="center" wrapText="1"/>
    </xf>
    <xf numFmtId="0" fontId="3" fillId="3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7" fillId="14" borderId="40" xfId="0" applyFont="1" applyFill="1" applyBorder="1" applyAlignment="1">
      <alignment horizontal="left" vertical="center"/>
    </xf>
    <xf numFmtId="0" fontId="7" fillId="14" borderId="44" xfId="0" applyFont="1" applyFill="1" applyBorder="1" applyAlignment="1">
      <alignment horizontal="left" vertical="center"/>
    </xf>
    <xf numFmtId="0" fontId="7" fillId="14" borderId="41" xfId="0" applyFont="1" applyFill="1" applyBorder="1" applyAlignment="1">
      <alignment horizontal="left" vertical="center"/>
    </xf>
    <xf numFmtId="0" fontId="22" fillId="15" borderId="38" xfId="0" applyFont="1" applyFill="1" applyBorder="1"/>
    <xf numFmtId="0" fontId="22" fillId="15" borderId="0" xfId="0" applyFont="1" applyFill="1"/>
    <xf numFmtId="0" fontId="23" fillId="15" borderId="38" xfId="0" applyFont="1" applyFill="1" applyBorder="1" applyAlignment="1">
      <alignment vertical="top" wrapText="1"/>
    </xf>
    <xf numFmtId="0" fontId="23" fillId="15" borderId="0" xfId="0" applyFont="1" applyFill="1" applyAlignment="1">
      <alignment vertical="top" wrapText="1"/>
    </xf>
    <xf numFmtId="0" fontId="23" fillId="15" borderId="39" xfId="0" applyFont="1" applyFill="1" applyBorder="1" applyAlignment="1">
      <alignment vertical="top" wrapText="1"/>
    </xf>
    <xf numFmtId="0" fontId="23" fillId="15" borderId="38" xfId="0" applyFont="1" applyFill="1" applyBorder="1" applyAlignment="1">
      <alignment vertical="top"/>
    </xf>
    <xf numFmtId="0" fontId="23" fillId="15" borderId="0" xfId="0" applyFont="1" applyFill="1" applyAlignment="1">
      <alignment vertical="top"/>
    </xf>
    <xf numFmtId="0" fontId="23" fillId="15" borderId="39" xfId="0" applyFont="1" applyFill="1" applyBorder="1" applyAlignment="1">
      <alignment vertical="top"/>
    </xf>
    <xf numFmtId="0" fontId="25" fillId="15" borderId="42" xfId="0" applyFont="1" applyFill="1" applyBorder="1"/>
    <xf numFmtId="0" fontId="25" fillId="15" borderId="45" xfId="0" applyFont="1" applyFill="1" applyBorder="1"/>
    <xf numFmtId="0" fontId="25" fillId="15" borderId="43" xfId="0" applyFont="1" applyFill="1" applyBorder="1"/>
    <xf numFmtId="0" fontId="24" fillId="15" borderId="38" xfId="0" applyFont="1" applyFill="1" applyBorder="1"/>
    <xf numFmtId="0" fontId="24" fillId="15" borderId="0" xfId="0" applyFont="1" applyFill="1"/>
    <xf numFmtId="0" fontId="26" fillId="15" borderId="0" xfId="0" applyFont="1" applyFill="1" applyAlignment="1">
      <alignment horizontal="left" vertical="top"/>
    </xf>
    <xf numFmtId="0" fontId="26" fillId="15" borderId="46" xfId="0" applyFont="1" applyFill="1" applyBorder="1" applyAlignment="1">
      <alignment horizontal="left" vertical="top"/>
    </xf>
    <xf numFmtId="0" fontId="7" fillId="14" borderId="50" xfId="0" applyFont="1" applyFill="1" applyBorder="1" applyAlignment="1">
      <alignment horizontal="left" vertical="center"/>
    </xf>
    <xf numFmtId="0" fontId="7" fillId="14" borderId="49" xfId="0" applyFont="1" applyFill="1" applyBorder="1" applyAlignment="1">
      <alignment horizontal="left" vertical="center"/>
    </xf>
    <xf numFmtId="0" fontId="7" fillId="14" borderId="53" xfId="0" applyFont="1" applyFill="1" applyBorder="1" applyAlignment="1">
      <alignment horizontal="left" vertical="center"/>
    </xf>
    <xf numFmtId="0" fontId="23" fillId="15" borderId="0" xfId="0" applyFont="1" applyFill="1" applyAlignment="1">
      <alignment horizontal="left"/>
    </xf>
    <xf numFmtId="0" fontId="23" fillId="15" borderId="46" xfId="0" applyFont="1" applyFill="1" applyBorder="1" applyAlignment="1">
      <alignment horizontal="left"/>
    </xf>
    <xf numFmtId="0" fontId="22" fillId="15" borderId="0" xfId="0" applyFont="1" applyFill="1" applyAlignment="1">
      <alignment horizontal="left"/>
    </xf>
    <xf numFmtId="0" fontId="22" fillId="15" borderId="46" xfId="0" applyFont="1" applyFill="1" applyBorder="1" applyAlignment="1">
      <alignment horizontal="left"/>
    </xf>
    <xf numFmtId="0" fontId="26" fillId="15" borderId="0" xfId="0" applyFont="1" applyFill="1" applyAlignment="1">
      <alignment horizontal="left"/>
    </xf>
    <xf numFmtId="0" fontId="26" fillId="15" borderId="46" xfId="0" applyFont="1" applyFill="1" applyBorder="1" applyAlignment="1">
      <alignment horizontal="left"/>
    </xf>
  </cellXfs>
  <cellStyles count="3">
    <cellStyle name="Hyperlink" xfId="2" builtinId="8"/>
    <cellStyle name="Normal" xfId="0" builtinId="0"/>
    <cellStyle name="Percent" xfId="1" builtinId="5"/>
  </cellStyles>
  <dxfs count="46">
    <dxf>
      <numFmt numFmtId="19" formatCode="m/d/yy"/>
    </dxf>
    <dxf>
      <numFmt numFmtId="19" formatCode="m/d/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none">
          <fgColor indexed="64"/>
          <bgColor auto="1"/>
        </patternFill>
      </fill>
    </dxf>
    <dxf>
      <numFmt numFmtId="164" formatCode="#\ ##0\ \€"/>
    </dxf>
    <dxf>
      <numFmt numFmtId="171" formatCode="0#&quot; &quot;##&quot; &quot;##&quot; &quot;##&quot; &quot;##"/>
    </dxf>
    <dxf>
      <numFmt numFmtId="171" formatCode="0#&quot; &quot;##&quot; &quot;##&quot; &quot;##&quot; &quot;##"/>
    </dxf>
    <dxf>
      <numFmt numFmtId="30" formatCode="@"/>
      <alignment horizontal="center" vertical="center" textRotation="0" wrapText="0" indent="0" justifyLastLine="0" shrinkToFit="0" readingOrder="0"/>
    </dxf>
    <dxf>
      <numFmt numFmtId="171" formatCode="0#&quot; &quot;##&quot; &quot;##&quot; &quot;##&quot; &quot;##"/>
      <alignment horizontal="center" vertical="center" textRotation="0" wrapText="0" indent="0" justifyLastLine="0" shrinkToFit="0" readingOrder="0"/>
    </dxf>
    <dxf>
      <numFmt numFmtId="171" formatCode="0#&quot; &quot;##&quot; &quot;##&quot; &quot;##&quot; &quot;##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2E75B6"/>
      <color rgb="FFFFFF99"/>
      <color rgb="FFFCD5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Comparaison</a:t>
            </a:r>
            <a:r>
              <a:rPr lang="en-US" baseline="0"/>
              <a:t> Budget vs Réel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DASHBOARD!$N$6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DASHBOARD!$K$7:$K$13</c:f>
              <c:strCache>
                <c:ptCount val="7"/>
                <c:pt idx="0">
                  <c:v>Terrain &amp; Préparation</c:v>
                </c:pt>
                <c:pt idx="1">
                  <c:v>Viabilisation</c:v>
                </c:pt>
                <c:pt idx="2">
                  <c:v>Gros œuvre</c:v>
                </c:pt>
                <c:pt idx="3">
                  <c:v>Menuiseries</c:v>
                </c:pt>
                <c:pt idx="4">
                  <c:v>Second œuvre</c:v>
                </c:pt>
                <c:pt idx="5">
                  <c:v>Finitions</c:v>
                </c:pt>
                <c:pt idx="6">
                  <c:v>Extérieurs</c:v>
                </c:pt>
              </c:strCache>
            </c:strRef>
          </c:cat>
          <c:val>
            <c:numRef>
              <c:f>DASHBOARD!$N$7:$N$13</c:f>
              <c:numCache>
                <c:formatCode>#\ ##0\ \€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FB-F644-9EC2-703ADC88C749}"/>
            </c:ext>
          </c:extLst>
        </c:ser>
        <c:ser>
          <c:idx val="2"/>
          <c:order val="1"/>
          <c:tx>
            <c:strRef>
              <c:f>DASHBOARD!$P$6</c:f>
              <c:strCache>
                <c:ptCount val="1"/>
                <c:pt idx="0">
                  <c:v>Réel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DASHBOARD!$K$7:$K$13</c:f>
              <c:strCache>
                <c:ptCount val="7"/>
                <c:pt idx="0">
                  <c:v>Terrain &amp; Préparation</c:v>
                </c:pt>
                <c:pt idx="1">
                  <c:v>Viabilisation</c:v>
                </c:pt>
                <c:pt idx="2">
                  <c:v>Gros œuvre</c:v>
                </c:pt>
                <c:pt idx="3">
                  <c:v>Menuiseries</c:v>
                </c:pt>
                <c:pt idx="4">
                  <c:v>Second œuvre</c:v>
                </c:pt>
                <c:pt idx="5">
                  <c:v>Finitions</c:v>
                </c:pt>
                <c:pt idx="6">
                  <c:v>Extérieurs</c:v>
                </c:pt>
              </c:strCache>
            </c:strRef>
          </c:cat>
          <c:val>
            <c:numRef>
              <c:f>DASHBOARD!$P$7:$P$13</c:f>
              <c:numCache>
                <c:formatCode>#\ ##0\ \€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FB-F644-9EC2-703ADC88C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41542272"/>
        <c:axId val="1841529728"/>
      </c:barChart>
      <c:catAx>
        <c:axId val="1841542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1529728"/>
        <c:crosses val="autoZero"/>
        <c:auto val="1"/>
        <c:lblAlgn val="ctr"/>
        <c:lblOffset val="100"/>
        <c:noMultiLvlLbl val="0"/>
      </c:catAx>
      <c:valAx>
        <c:axId val="184152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154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_xlchart.v1.4</cx:f>
      </cx:numDim>
    </cx:data>
    <cx:data id="1">
      <cx:strDim type="cat">
        <cx:f>_xlchart.v1.0</cx:f>
      </cx:strDim>
      <cx:numDim type="size">
        <cx:f>_xlchart.v1.2</cx:f>
      </cx:numDim>
    </cx:data>
    <cx:data id="2">
      <cx:strDim type="cat">
        <cx:f>_xlchart.v1.0</cx:f>
      </cx:strDim>
      <cx:numDim type="size">
        <cx:f>_xlchart.v1.4</cx:f>
      </cx:numDim>
    </cx:data>
  </cx:chartData>
  <cx:chart>
    <cx:title pos="t" align="ctr" overlay="0">
      <cx:tx>
        <cx:txData>
          <cx:v>Répartition du budget prévisionnel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/>
            </a:rPr>
            <a:t>Répartition du budget prévisionnel</a:t>
          </a:r>
        </a:p>
      </cx:txPr>
    </cx:title>
    <cx:plotArea>
      <cx:plotAreaRegion>
        <cx:series layoutId="treemap" uniqueId="{B023876B-5ECA-664F-9429-82AA92FDC669}" formatIdx="0">
          <cx:tx>
            <cx:txData>
              <cx:f>_xlchart.v1.3</cx:f>
              <cx:v>Budget</cx:v>
            </cx:txData>
          </cx:tx>
          <cx:dataId val="0"/>
          <cx:layoutPr/>
        </cx:series>
        <cx:series layoutId="treemap" hidden="1" uniqueId="{53A6513C-E1D9-2848-81B9-E249753F25A8}" formatIdx="1">
          <cx:tx>
            <cx:txData>
              <cx:f>_xlchart.v1.1</cx:f>
              <cx:v>🔧 DIY</cx:v>
            </cx:txData>
          </cx:tx>
          <cx:dataId val="1"/>
          <cx:layoutPr/>
        </cx:series>
        <cx:series layoutId="treemap" hidden="1" uniqueId="{2272A469-0FA9-C74C-8409-0F2EA949CFBA}" formatIdx="2">
          <cx:tx>
            <cx:txData>
              <cx:f>_xlchart.v1.3</cx:f>
              <cx:v>Budget</cx:v>
            </cx:txData>
          </cx:tx>
          <cx:dataId val="2"/>
          <cx:layoutPr/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12700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1F497D"/>
                  </a:solidFill>
                  <a:latin typeface="Microsoft YaHei" pitchFamily="2" charset="-122"/>
                  <a:ea typeface="Microsoft YaHei" pitchFamily="2" charset="-122"/>
                </a:rPr>
                <a:t>＋</a:t>
              </a:r>
              <a:r>
                <a:rPr lang="en-US" sz="1600" b="1" i="0" u="none" strike="noStrike" baseline="0">
                  <a:solidFill>
                    <a:srgbClr val="1F497D"/>
                  </a:solidFill>
                  <a:latin typeface="Aptos Narrow" charset="0"/>
                  <a:ea typeface="Microsoft YaHei" pitchFamily="2" charset="-122"/>
                </a:rPr>
                <a:t>AJOUTER ÉLÉMENT</a:t>
              </a:r>
              <a:endParaRPr lang="en-US" sz="1600" b="1" i="0" u="none" strike="noStrike" baseline="0">
                <a:solidFill>
                  <a:srgbClr val="1F497D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520700</xdr:colOff>
          <xdr:row>12</xdr:row>
          <xdr:rowOff>38100</xdr:rowOff>
        </xdr:from>
        <xdr:to>
          <xdr:col>3</xdr:col>
          <xdr:colOff>3035300</xdr:colOff>
          <xdr:row>12</xdr:row>
          <xdr:rowOff>317500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📎 Joindre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736600</xdr:colOff>
          <xdr:row>15</xdr:row>
          <xdr:rowOff>0</xdr:rowOff>
        </xdr:from>
        <xdr:to>
          <xdr:col>2</xdr:col>
          <xdr:colOff>2260600</xdr:colOff>
          <xdr:row>16</xdr:row>
          <xdr:rowOff>12700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6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✏️ Réinitialiser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508000</xdr:colOff>
          <xdr:row>7</xdr:row>
          <xdr:rowOff>63500</xdr:rowOff>
        </xdr:from>
        <xdr:to>
          <xdr:col>4</xdr:col>
          <xdr:colOff>2120900</xdr:colOff>
          <xdr:row>7</xdr:row>
          <xdr:rowOff>304800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6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 charset="0"/>
                </a:rPr>
                <a:t>✚ Nouveau Sous-Produit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508000</xdr:colOff>
          <xdr:row>8</xdr:row>
          <xdr:rowOff>88900</xdr:rowOff>
        </xdr:from>
        <xdr:to>
          <xdr:col>4</xdr:col>
          <xdr:colOff>2133600</xdr:colOff>
          <xdr:row>8</xdr:row>
          <xdr:rowOff>304800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6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 charset="0"/>
                </a:rPr>
                <a:t>✚  Nouveau Fournisseur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460855</xdr:colOff>
      <xdr:row>14</xdr:row>
      <xdr:rowOff>184151</xdr:rowOff>
    </xdr:from>
    <xdr:to>
      <xdr:col>17</xdr:col>
      <xdr:colOff>9621</xdr:colOff>
      <xdr:row>25</xdr:row>
      <xdr:rowOff>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8085278B-2F9F-A58A-EF2A-10274C0DB0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74955" y="3028951"/>
              <a:ext cx="6241666" cy="1911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</xdr:colOff>
      <xdr:row>26</xdr:row>
      <xdr:rowOff>11545</xdr:rowOff>
    </xdr:from>
    <xdr:to>
      <xdr:col>17</xdr:col>
      <xdr:colOff>1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3D27533-5947-848D-EEBB-62AC56AE83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23</xdr:row>
          <xdr:rowOff>0</xdr:rowOff>
        </xdr:from>
        <xdr:to>
          <xdr:col>3</xdr:col>
          <xdr:colOff>0</xdr:colOff>
          <xdr:row>25</xdr:row>
          <xdr:rowOff>152400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A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🔎 Rechercher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27</xdr:row>
          <xdr:rowOff>76200</xdr:rowOff>
        </xdr:from>
        <xdr:to>
          <xdr:col>3</xdr:col>
          <xdr:colOff>0</xdr:colOff>
          <xdr:row>29</xdr:row>
          <xdr:rowOff>165100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A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C00000"/>
                  </a:solidFill>
                  <a:latin typeface="Calibri" pitchFamily="2" charset="0"/>
                  <a:cs typeface="Calibri" pitchFamily="2" charset="0"/>
                </a:rPr>
                <a:t>🗑️ SUPPRIMER TRANSACTION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23</xdr:row>
          <xdr:rowOff>127000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✚ AJOUTER UN FOURNISSEUR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2877950-CD0C-4E6C-86CA-B3CB149627A1}" autoFormatId="16" applyNumberFormats="0" applyBorderFormats="0" applyFontFormats="0" applyPatternFormats="0" applyAlignmentFormats="0" applyWidthHeightFormats="0">
  <queryTableRefresh nextId="22">
    <queryTableFields count="18">
      <queryTableField id="1" name="input_id" tableColumnId="1"/>
      <queryTableField id="2" name="date" tableColumnId="2"/>
      <queryTableField id="3" name="categorie_id" tableColumnId="3"/>
      <queryTableField id="4" name="categorie" tableColumnId="4"/>
      <queryTableField id="5" name="sous_categorie" tableColumnId="5"/>
      <queryTableField id="6" name="produit" tableColumnId="6"/>
      <queryTableField id="7" name="produit_id" tableColumnId="7"/>
      <queryTableField id="20" name="sous_produit" tableColumnId="18"/>
      <queryTableField id="8" name="type" tableColumnId="8"/>
      <queryTableField id="9" name="fournisseur" tableColumnId="9"/>
      <queryTableField id="10" name="ref" tableColumnId="10"/>
      <queryTableField id="11" name="quantite" tableColumnId="11"/>
      <queryTableField id="12" name="prix_unitaire" tableColumnId="12"/>
      <queryTableField id="18" name="Commentaire" tableColumnId="17"/>
      <queryTableField id="16" name="is_deleted" tableColumnId="16"/>
      <queryTableField id="13" name="fichier" tableColumnId="13"/>
      <queryTableField id="14" name="source_drive" tableColumnId="14"/>
      <queryTableField id="15" name="fichier_id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77714F4-BB14-4B6C-896E-35DCC819E284}" autoFormatId="16" applyNumberFormats="0" applyBorderFormats="0" applyFontFormats="0" applyPatternFormats="0" applyAlignmentFormats="0" applyWidthHeightFormats="0">
  <queryTableRefresh nextId="52">
    <queryTableFields count="17">
      <queryTableField id="1" name="input_id" tableColumnId="1"/>
      <queryTableField id="2" name="date" tableColumnId="2"/>
      <queryTableField id="3" name="categorie_id" tableColumnId="3"/>
      <queryTableField id="4" name="categorie" tableColumnId="4"/>
      <queryTableField id="5" name="sous_categorie" tableColumnId="5"/>
      <queryTableField id="6" name="produit" tableColumnId="6"/>
      <queryTableField id="7" name="produit_id" tableColumnId="7"/>
      <queryTableField id="47" name="sous_produit" tableColumnId="9"/>
      <queryTableField id="8" name="type" tableColumnId="8"/>
      <queryTableField id="10" name="fournisseur" tableColumnId="10"/>
      <queryTableField id="28" name="ref" tableColumnId="11"/>
      <queryTableField id="13" name="quantite" tableColumnId="13"/>
      <queryTableField id="14" name="prix_unitaire" tableColumnId="14"/>
      <queryTableField id="38" name="Commentaire" tableColumnId="12"/>
      <queryTableField id="48" name="is_deleted" tableColumnId="16"/>
      <queryTableField id="15" name="cout_total" tableColumnId="15"/>
      <queryTableField id="44" name="comparison_key" tableColumnId="19"/>
    </queryTableFields>
    <queryTableDeletedFields count="3">
      <deletedField name="unite"/>
      <deletedField name="element"/>
      <deletedField name="comparison_label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162072E-4B1D-4BB5-BA80-91F880D9D5CA}" autoFormatId="16" applyNumberFormats="0" applyBorderFormats="0" applyFontFormats="0" applyPatternFormats="0" applyAlignmentFormats="0" applyWidthHeightFormats="0">
  <queryTableRefresh nextId="29">
    <queryTableFields count="15">
      <queryTableField id="1" name="categorie" tableColumnId="1"/>
      <queryTableField id="2" name="sous_categorie" tableColumnId="2"/>
      <queryTableField id="3" name="produit" tableColumnId="3"/>
      <queryTableField id="11" name="produit_id" tableColumnId="11"/>
      <queryTableField id="23" name="sous_produit" tableColumnId="12"/>
      <queryTableField id="13" name="comparison_key" tableColumnId="13"/>
      <queryTableField id="4" name="vendeur_bas" tableColumnId="4"/>
      <queryTableField id="24" name="ref_bas" tableColumnId="15"/>
      <queryTableField id="5" name="estimation_basse" tableColumnId="5"/>
      <queryTableField id="6" name="vendeur_haut" tableColumnId="6"/>
      <queryTableField id="25" name="ref_haut" tableColumnId="16"/>
      <queryTableField id="7" name="estimation_haute" tableColumnId="7"/>
      <queryTableField id="8" name="cout_moyen" tableColumnId="8"/>
      <queryTableField id="9" name="cout_diy" tableColumnId="9"/>
      <queryTableField id="10" name="cout_reel" tableColumnId="10"/>
    </queryTableFields>
    <queryTableDeletedFields count="1">
      <deletedField name="comparison_label"/>
    </queryTableDeleted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AC70E9C-E264-47CD-A39D-C9785087974B}" name="dim_produits" displayName="dim_produits" ref="A1:E138" totalsRowShown="0">
  <autoFilter ref="A1:E138" xr:uid="{3AC70E9C-E264-47CD-A39D-C9785087974B}"/>
  <tableColumns count="5">
    <tableColumn id="1" xr3:uid="{2CB923BE-21B6-4508-958E-BD2851B2D02A}" name="categorie_id"/>
    <tableColumn id="2" xr3:uid="{966AC50B-C3F0-4165-BD17-A1A9FB3880E7}" name="categorie" dataDxfId="45"/>
    <tableColumn id="3" xr3:uid="{B3561E24-9F02-492F-9005-644D8A4F81F1}" name="sous_categorie" dataDxfId="44"/>
    <tableColumn id="4" xr3:uid="{CC9B41B4-B990-4981-8253-130A4C39D72C}" name="produit" dataDxfId="43"/>
    <tableColumn id="5" xr3:uid="{46494AF4-0AAF-4603-80DE-5278ED445349}" name="produit_id">
      <calculatedColumnFormula>ROW()-1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619EEF-E3D0-4C41-BA8D-1583B8F704DB}" name="tbl_sous_produits" displayName="tbl_sous_produits" ref="A1:H2" insertRow="1" totalsRowShown="0">
  <autoFilter ref="A1:H2" xr:uid="{16619EEF-E3D0-4C41-BA8D-1583B8F704DB}"/>
  <tableColumns count="8">
    <tableColumn id="1" xr3:uid="{F9F76EBC-6CDF-4935-86EE-C197FDA44523}" name="sous_produit_id"/>
    <tableColumn id="2" xr3:uid="{C5F11966-A1D1-4311-92D3-E2ADA7D9A92F}" name="categorie_id"/>
    <tableColumn id="3" xr3:uid="{66108A13-C01C-4EC5-A353-A2198E1CF3E2}" name="categorie"/>
    <tableColumn id="4" xr3:uid="{FE644BE2-2BFD-480E-83B0-3F3E71D5C3CD}" name="sous_categorie"/>
    <tableColumn id="5" xr3:uid="{D16B7E9D-158C-4CDE-B6A9-95D84BB9A11E}" name="produit_id"/>
    <tableColumn id="6" xr3:uid="{C2AE44FC-B1F8-46B6-85E5-0E2A083071F4}" name="produit"/>
    <tableColumn id="7" xr3:uid="{043509DE-99BE-44BD-A74F-28FB2AB68EE4}" name="sous_produit"/>
    <tableColumn id="8" xr3:uid="{F8A3CC4E-C894-44EC-9971-3CA637A7F345}" name="is_activ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13B62D-D054-47B5-B8FC-D9CAB4FE95DF}" name="input_staging" displayName="input_staging" ref="A1:O2" insertRow="1" totalsRowShown="0">
  <autoFilter ref="A1:O2" xr:uid="{2513B62D-D054-47B5-B8FC-D9CAB4FE95DF}"/>
  <tableColumns count="15">
    <tableColumn id="1" xr3:uid="{AC5C03E2-F3BC-47A4-81E2-F94C6B563A58}" name="input_id"/>
    <tableColumn id="2" xr3:uid="{B03ADBB3-E55D-4FDF-ACD5-F22DDD9AF3D1}" name="date"/>
    <tableColumn id="3" xr3:uid="{F28A0536-523A-4B10-93FD-43A96D0EDA94}" name="categorie_id" dataDxfId="42">
      <calculatedColumnFormula>IFERROR(_xlfn.XLOOKUP(D2,dim_produits[categorie],dim_produits[categorie_id]),"")</calculatedColumnFormula>
    </tableColumn>
    <tableColumn id="4" xr3:uid="{E2F65D5E-1EE4-48ED-8AB3-E48C20F21963}" name="categorie"/>
    <tableColumn id="5" xr3:uid="{B4EF5DEE-87B3-4283-8CC9-79952A8B1CC3}" name="sous_categorie"/>
    <tableColumn id="6" xr3:uid="{0EEA74E6-F404-4254-A77C-3F25C3C0C0EB}" name="produit"/>
    <tableColumn id="7" xr3:uid="{8721274A-557E-4398-91F0-9F2810E1975D}" name="produit_id" dataDxfId="41">
      <calculatedColumnFormula>IFERROR(_xlfn.XLOOKUP(D2&amp;"|"&amp;E2&amp;"|"&amp;F2,dim_produits[categorie]&amp;"|"&amp;dim_produits[sous_categorie]&amp;"|"&amp;dim_produits[produit],dim_produits[produit_id]),"")</calculatedColumnFormula>
    </tableColumn>
    <tableColumn id="15" xr3:uid="{8D71EA9C-90AC-424F-8F59-8582D360A4AE}" name="sous_produit"/>
    <tableColumn id="8" xr3:uid="{A18F25D4-DBF7-48FE-A391-CDA0BEF7122A}" name="type"/>
    <tableColumn id="9" xr3:uid="{2BCE891C-7CEE-4DA7-B7CF-8E33D8A14A99}" name="fournisseur"/>
    <tableColumn id="10" xr3:uid="{16747E17-CCC5-40C6-8CED-8D6FEC7C1F36}" name="ref"/>
    <tableColumn id="11" xr3:uid="{576CD32C-4487-44D8-B9D2-6E9781D361AC}" name="quantite"/>
    <tableColumn id="12" xr3:uid="{244E0939-81CF-4E23-BFA5-13503ABF7105}" name="prix_unitaire"/>
    <tableColumn id="14" xr3:uid="{D04CAB91-207F-4045-B110-4B6712320643}" name="Commentaire"/>
    <tableColumn id="13" xr3:uid="{F20AC852-D91D-4841-B728-CBDD6361187F}" name="is_deleted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0B64CB-5997-4839-9AEB-1A680A19C4B3}" name="input_staging_enriched" displayName="input_staging_enriched" ref="A1:R2" tableType="queryTable" totalsRowShown="0">
  <autoFilter ref="A1:R2" xr:uid="{040B64CB-5997-4839-9AEB-1A680A19C4B3}"/>
  <tableColumns count="18">
    <tableColumn id="1" xr3:uid="{15002175-5CAC-4D7F-A734-FF2358FC6C16}" uniqueName="1" name="input_id" queryTableFieldId="1" dataDxfId="40"/>
    <tableColumn id="2" xr3:uid="{E1492503-4054-43B7-9997-32B892A31721}" uniqueName="2" name="date" queryTableFieldId="2" dataDxfId="0"/>
    <tableColumn id="3" xr3:uid="{D16F9C8A-55E4-4E01-A735-0B4D21E4DE55}" uniqueName="3" name="categorie_id" queryTableFieldId="3" dataDxfId="39"/>
    <tableColumn id="4" xr3:uid="{F5D52F9F-536B-4214-8A7C-D18BE80D1DA6}" uniqueName="4" name="categorie" queryTableFieldId="4" dataDxfId="38"/>
    <tableColumn id="5" xr3:uid="{50371C1E-01FF-457A-8B2F-AD2EE9F61418}" uniqueName="5" name="sous_categorie" queryTableFieldId="5" dataDxfId="37"/>
    <tableColumn id="6" xr3:uid="{63F099F9-9A1E-4215-920F-691678510A1A}" uniqueName="6" name="produit" queryTableFieldId="6" dataDxfId="36"/>
    <tableColumn id="7" xr3:uid="{487B8669-3393-4ED9-AA9C-24FD41635201}" uniqueName="7" name="produit_id" queryTableFieldId="7" dataDxfId="35"/>
    <tableColumn id="18" xr3:uid="{63E5ADE6-62B9-40D5-AFA9-37E5DC849E29}" uniqueName="18" name="sous_produit" queryTableFieldId="20" dataDxfId="34"/>
    <tableColumn id="8" xr3:uid="{25B68A51-63D3-4D6D-90A2-235CBEA93A58}" uniqueName="8" name="type" queryTableFieldId="8" dataDxfId="33"/>
    <tableColumn id="9" xr3:uid="{41BBDB8E-593C-4F54-B06D-9173D7E553CB}" uniqueName="9" name="fournisseur" queryTableFieldId="9" dataDxfId="32"/>
    <tableColumn id="10" xr3:uid="{B69DDBAB-FE9C-40CD-B863-4331EB4CF116}" uniqueName="10" name="ref" queryTableFieldId="10" dataDxfId="31"/>
    <tableColumn id="11" xr3:uid="{BB978006-3624-45E6-8D13-111C9BCF479E}" uniqueName="11" name="quantite" queryTableFieldId="11"/>
    <tableColumn id="12" xr3:uid="{62EE8109-A7C5-4878-8A9F-BBEACBFCE565}" uniqueName="12" name="prix_unitaire" queryTableFieldId="12"/>
    <tableColumn id="17" xr3:uid="{AB9EC93E-0100-A348-B61C-44E118AB2B40}" uniqueName="17" name="Commentaire" queryTableFieldId="18" dataDxfId="30"/>
    <tableColumn id="16" xr3:uid="{72820D13-18EA-FE47-99A7-365BB4337C96}" uniqueName="16" name="is_deleted" queryTableFieldId="16" dataDxfId="29"/>
    <tableColumn id="13" xr3:uid="{51D90C64-B39E-4CFC-AA6F-501E3DC60522}" uniqueName="13" name="fichier" queryTableFieldId="13" dataDxfId="28"/>
    <tableColumn id="14" xr3:uid="{0AF9FEA3-230C-40F6-9898-1926AEAAE0AF}" uniqueName="14" name="source_drive" queryTableFieldId="14" dataDxfId="27"/>
    <tableColumn id="15" xr3:uid="{D8B86B32-DA8A-4054-9240-362526494963}" uniqueName="15" name="fichier_id" queryTableFieldId="15" dataDxfId="2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A58F1C-94DB-49C8-81F5-04E6FCA43664}" name="fact_transactions" displayName="fact_transactions" ref="A1:Q2" tableType="queryTable" totalsRowShown="0">
  <autoFilter ref="A1:Q2" xr:uid="{D0A58F1C-94DB-49C8-81F5-04E6FCA43664}"/>
  <tableColumns count="17">
    <tableColumn id="1" xr3:uid="{01D7AE46-5110-4369-B9F6-3829F83BA682}" uniqueName="1" name="input_id" queryTableFieldId="1" dataDxfId="25"/>
    <tableColumn id="2" xr3:uid="{2B78506C-C36E-4A12-9346-78B85CBD9A0F}" uniqueName="2" name="date" queryTableFieldId="2" dataDxfId="1"/>
    <tableColumn id="3" xr3:uid="{5D03BED9-B716-468E-8A38-25480C6BC13C}" uniqueName="3" name="categorie_id" queryTableFieldId="3" dataDxfId="24"/>
    <tableColumn id="4" xr3:uid="{CDE72D5C-5AE1-4633-8E23-540BABAEA88F}" uniqueName="4" name="categorie" queryTableFieldId="4" dataDxfId="23"/>
    <tableColumn id="5" xr3:uid="{EB4A32D4-11FD-41E9-8F36-C019EC5E1392}" uniqueName="5" name="sous_categorie" queryTableFieldId="5" dataDxfId="22"/>
    <tableColumn id="6" xr3:uid="{D2B56EAB-B6E2-4073-8004-53CC9E90C7D9}" uniqueName="6" name="produit" queryTableFieldId="6" dataDxfId="21"/>
    <tableColumn id="7" xr3:uid="{79298821-CCBE-44C2-AC68-8421B99D36E2}" uniqueName="7" name="produit_id" queryTableFieldId="7" dataDxfId="20"/>
    <tableColumn id="9" xr3:uid="{988A065A-7178-46F7-BD22-EF18A19D6640}" uniqueName="9" name="sous_produit" queryTableFieldId="47" dataDxfId="19"/>
    <tableColumn id="8" xr3:uid="{9C640A11-B9D0-4BD0-BF96-3945874E170B}" uniqueName="8" name="type" queryTableFieldId="8" dataDxfId="18"/>
    <tableColumn id="10" xr3:uid="{E10C85FA-86C4-4391-A348-74B06D46FD04}" uniqueName="10" name="fournisseur" queryTableFieldId="10" dataDxfId="17"/>
    <tableColumn id="11" xr3:uid="{507D4F36-2D8C-BE47-A6A6-24EC2517B610}" uniqueName="11" name="ref" queryTableFieldId="28" dataDxfId="16"/>
    <tableColumn id="13" xr3:uid="{35246101-5C67-418C-A2B2-3EFFD7A3001A}" uniqueName="13" name="quantite" queryTableFieldId="13"/>
    <tableColumn id="14" xr3:uid="{EC92067F-0A9C-4F39-90DC-4B4CE0652E55}" uniqueName="14" name="prix_unitaire" queryTableFieldId="14"/>
    <tableColumn id="12" xr3:uid="{15EDDCA1-8C5C-664A-941A-4DF1FF928144}" uniqueName="12" name="Commentaire" queryTableFieldId="38" dataDxfId="15"/>
    <tableColumn id="16" xr3:uid="{DBF38C62-0CD2-4E77-A132-A3D5AB385E62}" uniqueName="16" name="is_deleted" queryTableFieldId="48"/>
    <tableColumn id="15" xr3:uid="{6A12F137-6536-4421-98AC-6253A5759F4D}" uniqueName="15" name="cout_total" queryTableFieldId="15" dataDxfId="14"/>
    <tableColumn id="19" xr3:uid="{04BF64AA-A34A-494C-B8A3-0208584FD6BE}" uniqueName="19" name="comparison_key" queryTableFieldId="44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C0D1616-73F5-4843-82D6-DAA559527906}" name="fact_couts" displayName="fact_couts" ref="A1:O2" tableType="queryTable" insertRow="1" totalsRowShown="0">
  <autoFilter ref="A1:O2" xr:uid="{BC0D1616-73F5-4843-82D6-DAA559527906}"/>
  <tableColumns count="15">
    <tableColumn id="1" xr3:uid="{63762AC9-875E-42FB-8E9E-8345F0C9C145}" uniqueName="1" name="categorie" queryTableFieldId="1"/>
    <tableColumn id="2" xr3:uid="{E2F61CA5-4FAA-4EF8-99D5-1973B93B5E98}" uniqueName="2" name="sous_categorie" queryTableFieldId="2"/>
    <tableColumn id="3" xr3:uid="{46DA5004-EFDA-412A-BF72-38A29D45C6D3}" uniqueName="3" name="produit" queryTableFieldId="3"/>
    <tableColumn id="11" xr3:uid="{7F6D6F66-B653-456F-86E1-F6F6F7F739C9}" uniqueName="11" name="produit_id" queryTableFieldId="11"/>
    <tableColumn id="12" xr3:uid="{DAAEA692-170A-4C53-9CE1-514F5A0787D8}" uniqueName="12" name="sous_produit" queryTableFieldId="23"/>
    <tableColumn id="13" xr3:uid="{E5D09D08-006B-4DED-ABCE-BA324AC90CD1}" uniqueName="13" name="comparison_key" queryTableFieldId="13"/>
    <tableColumn id="4" xr3:uid="{67D37ACD-51C3-4E91-9CC9-885CE58DDFAC}" uniqueName="4" name="vendeur_bas" queryTableFieldId="4"/>
    <tableColumn id="15" xr3:uid="{76EF0636-BFF1-45A5-89E6-B4BFF2FD7520}" uniqueName="15" name="ref_bas" queryTableFieldId="24"/>
    <tableColumn id="5" xr3:uid="{2C3198FC-1B99-4A52-8DA8-8B73552AD7BC}" uniqueName="5" name="estimation_basse" queryTableFieldId="5"/>
    <tableColumn id="6" xr3:uid="{33CED529-77C2-4993-AADC-03C8AB84B613}" uniqueName="6" name="vendeur_haut" queryTableFieldId="6"/>
    <tableColumn id="16" xr3:uid="{0AA1721C-A5AD-4048-B7CE-E963C765A36F}" uniqueName="16" name="ref_haut" queryTableFieldId="25"/>
    <tableColumn id="7" xr3:uid="{5C89343A-ADC8-4B9E-8193-F97FD9754F1F}" uniqueName="7" name="estimation_haute" queryTableFieldId="7"/>
    <tableColumn id="8" xr3:uid="{9603EE11-BED7-43C1-B09A-416E5DDE8927}" uniqueName="8" name="cout_moyen" queryTableFieldId="8"/>
    <tableColumn id="9" xr3:uid="{6E4B35A0-7D99-47B0-AE83-A4FDD0A9FE62}" uniqueName="9" name="cout_diy" queryTableFieldId="9"/>
    <tableColumn id="10" xr3:uid="{E4D4F7A1-BF9F-420D-A95F-BBBB14F0987B}" uniqueName="10" name="cout_reel" queryTableFieldId="10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E8D394-1304-4D93-9CC9-714D1E9CF0D4}" name="r_search_filters" displayName="r_search_filters" ref="B13:C22" totalsRowShown="0">
  <autoFilter ref="B13:C22" xr:uid="{68E8D394-1304-4D93-9CC9-714D1E9CF0D4}"/>
  <tableColumns count="2">
    <tableColumn id="1" xr3:uid="{79EB5247-766F-45D4-8FFD-50055678CCAB}" name="filtre"/>
    <tableColumn id="2" xr3:uid="{4EE0B40F-8442-484B-B8EC-58A5AF6F8EF4}" name="valeur"/>
  </tableColumns>
  <tableStyleInfo name="TableStyleLight8" showFirstColumn="0" showLastColumn="0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248206D-3E6C-4C24-A318-C7260CEE9B4E}" name="r_search_results" displayName="r_search_results" ref="E13:P14" totalsRowShown="0">
  <autoFilter ref="E13:P14" xr:uid="{8248206D-3E6C-4C24-A318-C7260CEE9B4E}"/>
  <tableColumns count="12">
    <tableColumn id="1" xr3:uid="{F3CF3E19-212C-4931-B7FA-BB0A4D51FD36}" name="input_id"/>
    <tableColumn id="2" xr3:uid="{D5D709AA-21F7-4B94-9C01-0C7BAD9ECA66}" name="date"/>
    <tableColumn id="4" xr3:uid="{E1E523C5-53F9-4D81-B4C4-BE4B2D947A95}" name="categorie"/>
    <tableColumn id="5" xr3:uid="{2BC3F4CB-1674-4369-A1A0-FABE417C1364}" name="sous_categorie"/>
    <tableColumn id="6" xr3:uid="{6AE0784A-2714-4E38-887C-AB893A09AA39}" name="produit"/>
    <tableColumn id="7" xr3:uid="{7CA27EBA-1A31-45F1-9826-7ED97DA779F0}" name="sous_produit" dataDxfId="12"/>
    <tableColumn id="8" xr3:uid="{2DB741AD-E7A1-4A2C-AE9C-EA4FC719C577}" name="type"/>
    <tableColumn id="9" xr3:uid="{DD05F91D-A83A-4E3E-9471-436B44A0D6BF}" name="fournisseur"/>
    <tableColumn id="10" xr3:uid="{18A4D416-A765-4670-81DF-3441D342B50D}" name="ref"/>
    <tableColumn id="16" xr3:uid="{BD396C15-5A82-4E57-9084-E9F350355A54}" name="prix_total" dataDxfId="6"/>
    <tableColumn id="3" xr3:uid="{4099041A-0958-2F4A-8C85-C890EC6DC95C}" name="commentaire"/>
    <tableColumn id="14" xr3:uid="{500DD5A8-EEB2-4655-9C15-1F011ECB0E67}" name="source_drive" dataCellStyle="Hyperlink"/>
  </tableColumns>
  <tableStyleInfo name="TableStyleLight12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545E7B-A9B7-934A-B25C-DC78BFA29686}" name="tbl_fournisseurs" displayName="tbl_fournisseurs" ref="B19:H23" totalsRowShown="0">
  <autoFilter ref="B19:H23" xr:uid="{2C545E7B-A9B7-934A-B25C-DC78BFA29686}"/>
  <tableColumns count="7">
    <tableColumn id="2" xr3:uid="{CDD3A324-46E9-B547-95C1-315858AFBF73}" name="fournisseur"/>
    <tableColumn id="3" xr3:uid="{7CDCA4A0-3A97-9245-BF36-CBAD7F1C51BF}" name="adresse"/>
    <tableColumn id="4" xr3:uid="{24C309C7-0B9F-8643-B530-99F83146491B}" name="contact_principal" dataDxfId="11"/>
    <tableColumn id="5" xr3:uid="{B317B5E8-173C-D447-B942-AFB82BA5D228}" name="tel_contact_principal" dataDxfId="10"/>
    <tableColumn id="1" xr3:uid="{D8DA474F-AFD4-D346-9E35-43CBEAE8D760}" name="mail" dataDxfId="9"/>
    <tableColumn id="6" xr3:uid="{9F73DA2D-8D38-DB4F-874E-3BD6ECE6539B}" name="contact_secondaire" dataDxfId="8"/>
    <tableColumn id="7" xr3:uid="{7E700D00-3315-744D-A532-B415AA2C13DA}" name="tel_contact_secondaire" dataDxfId="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020E0-8F94-4EBC-93B2-C0644D07480A}">
  <sheetPr codeName="Sheet6"/>
  <dimension ref="A1:K138"/>
  <sheetViews>
    <sheetView showGridLines="0" workbookViewId="0">
      <selection activeCell="K67" sqref="K67"/>
    </sheetView>
  </sheetViews>
  <sheetFormatPr baseColWidth="10" defaultColWidth="8.83203125" defaultRowHeight="15" x14ac:dyDescent="0.2"/>
  <cols>
    <col min="1" max="1" width="14.33203125" bestFit="1" customWidth="1"/>
    <col min="2" max="2" width="23.1640625" bestFit="1" customWidth="1"/>
    <col min="3" max="3" width="28.33203125" bestFit="1" customWidth="1"/>
    <col min="4" max="4" width="39.33203125" bestFit="1" customWidth="1"/>
    <col min="5" max="5" width="11.83203125" bestFit="1" customWidth="1"/>
    <col min="11" max="11" width="85.6640625" customWidth="1"/>
    <col min="12" max="12" width="63.83203125" customWidth="1"/>
    <col min="13" max="13" width="14.83203125" bestFit="1" customWidth="1"/>
    <col min="14" max="14" width="11.5" bestFit="1" customWidth="1"/>
    <col min="15" max="15" width="18.1640625" bestFit="1" customWidth="1"/>
    <col min="16" max="16" width="13" bestFit="1" customWidth="1"/>
    <col min="17" max="17" width="9.33203125" bestFit="1" customWidth="1"/>
    <col min="18" max="18" width="8.6640625" bestFit="1" customWidth="1"/>
    <col min="19" max="19" width="7.5" bestFit="1" customWidth="1"/>
    <col min="20" max="20" width="10" bestFit="1" customWidth="1"/>
    <col min="21" max="21" width="6.83203125" bestFit="1" customWidth="1"/>
    <col min="22" max="22" width="5.1640625" bestFit="1" customWidth="1"/>
    <col min="23" max="23" width="8.6640625" bestFit="1" customWidth="1"/>
    <col min="24" max="24" width="12.5" bestFit="1" customWidth="1"/>
    <col min="25" max="25" width="18.5" bestFit="1" customWidth="1"/>
    <col min="26" max="26" width="7.83203125" bestFit="1" customWidth="1"/>
    <col min="27" max="27" width="9.6640625" bestFit="1" customWidth="1"/>
    <col min="28" max="28" width="7.83203125" bestFit="1" customWidth="1"/>
    <col min="29" max="29" width="13.6640625" bestFit="1" customWidth="1"/>
    <col min="30" max="30" width="9.33203125" bestFit="1" customWidth="1"/>
    <col min="31" max="31" width="15.1640625" bestFit="1" customWidth="1"/>
    <col min="32" max="32" width="15.6640625" bestFit="1" customWidth="1"/>
    <col min="33" max="33" width="20.33203125" bestFit="1" customWidth="1"/>
    <col min="34" max="34" width="10.83203125" bestFit="1" customWidth="1"/>
    <col min="35" max="35" width="4.1640625" bestFit="1" customWidth="1"/>
    <col min="36" max="36" width="24.5" bestFit="1" customWidth="1"/>
    <col min="37" max="37" width="12.83203125" bestFit="1" customWidth="1"/>
    <col min="38" max="38" width="7.5" bestFit="1" customWidth="1"/>
    <col min="39" max="39" width="11.6640625" bestFit="1" customWidth="1"/>
    <col min="40" max="40" width="10" bestFit="1" customWidth="1"/>
    <col min="41" max="41" width="6.1640625" bestFit="1" customWidth="1"/>
    <col min="42" max="42" width="10" bestFit="1" customWidth="1"/>
  </cols>
  <sheetData>
    <row r="1" spans="1:11" ht="19" x14ac:dyDescent="0.2">
      <c r="A1" t="s">
        <v>162</v>
      </c>
      <c r="B1" t="s">
        <v>163</v>
      </c>
      <c r="C1" t="s">
        <v>164</v>
      </c>
      <c r="D1" t="s">
        <v>165</v>
      </c>
      <c r="E1" t="s">
        <v>166</v>
      </c>
      <c r="G1" s="125" t="s">
        <v>333</v>
      </c>
      <c r="H1" s="126"/>
      <c r="I1" s="126"/>
      <c r="J1" s="126"/>
      <c r="K1" s="127"/>
    </row>
    <row r="2" spans="1:11" x14ac:dyDescent="0.2">
      <c r="A2">
        <v>1</v>
      </c>
      <c r="B2" t="s">
        <v>0</v>
      </c>
      <c r="C2" t="s">
        <v>1</v>
      </c>
      <c r="D2" t="s">
        <v>2</v>
      </c>
      <c r="E2">
        <f>ROW()-1</f>
        <v>1</v>
      </c>
      <c r="G2" s="82"/>
      <c r="H2" s="88"/>
      <c r="I2" s="88"/>
      <c r="J2" s="88"/>
      <c r="K2" s="83"/>
    </row>
    <row r="3" spans="1:11" ht="16" x14ac:dyDescent="0.2">
      <c r="A3">
        <v>1</v>
      </c>
      <c r="B3" t="s">
        <v>0</v>
      </c>
      <c r="C3" t="s">
        <v>1</v>
      </c>
      <c r="D3" t="s">
        <v>167</v>
      </c>
      <c r="E3">
        <f t="shared" ref="E3:E66" si="0">ROW()-1</f>
        <v>2</v>
      </c>
      <c r="G3" s="108" t="s">
        <v>222</v>
      </c>
      <c r="H3" s="92"/>
      <c r="I3" s="92"/>
      <c r="J3" s="92"/>
      <c r="K3" s="93"/>
    </row>
    <row r="4" spans="1:11" ht="16" x14ac:dyDescent="0.2">
      <c r="A4">
        <v>1</v>
      </c>
      <c r="B4" t="s">
        <v>0</v>
      </c>
      <c r="C4" t="s">
        <v>1</v>
      </c>
      <c r="D4" t="s">
        <v>3</v>
      </c>
      <c r="E4">
        <f t="shared" si="0"/>
        <v>3</v>
      </c>
      <c r="G4" s="94" t="s">
        <v>334</v>
      </c>
      <c r="H4" s="92"/>
      <c r="I4" s="92"/>
      <c r="J4" s="92"/>
      <c r="K4" s="93"/>
    </row>
    <row r="5" spans="1:11" ht="16" x14ac:dyDescent="0.2">
      <c r="A5">
        <v>1</v>
      </c>
      <c r="B5" t="s">
        <v>0</v>
      </c>
      <c r="C5" t="s">
        <v>1</v>
      </c>
      <c r="D5" t="s">
        <v>4</v>
      </c>
      <c r="E5">
        <f t="shared" si="0"/>
        <v>4</v>
      </c>
      <c r="G5" s="94" t="s">
        <v>335</v>
      </c>
      <c r="H5" s="92"/>
      <c r="I5" s="92"/>
      <c r="J5" s="92"/>
      <c r="K5" s="93"/>
    </row>
    <row r="6" spans="1:11" ht="16" x14ac:dyDescent="0.2">
      <c r="A6">
        <v>1</v>
      </c>
      <c r="B6" t="s">
        <v>0</v>
      </c>
      <c r="C6" t="s">
        <v>1</v>
      </c>
      <c r="D6" t="s">
        <v>5</v>
      </c>
      <c r="E6">
        <f t="shared" si="0"/>
        <v>5</v>
      </c>
      <c r="G6" s="94"/>
      <c r="H6" s="92"/>
      <c r="I6" s="92"/>
      <c r="J6" s="92"/>
      <c r="K6" s="93"/>
    </row>
    <row r="7" spans="1:11" ht="16" x14ac:dyDescent="0.2">
      <c r="A7">
        <v>1</v>
      </c>
      <c r="B7" t="s">
        <v>0</v>
      </c>
      <c r="C7" t="s">
        <v>1</v>
      </c>
      <c r="D7" t="s">
        <v>6</v>
      </c>
      <c r="E7">
        <f t="shared" si="0"/>
        <v>6</v>
      </c>
      <c r="G7" s="108" t="s">
        <v>225</v>
      </c>
      <c r="H7" s="92"/>
      <c r="I7" s="92"/>
      <c r="J7" s="92"/>
      <c r="K7" s="93"/>
    </row>
    <row r="8" spans="1:11" ht="16" x14ac:dyDescent="0.2">
      <c r="A8">
        <v>1</v>
      </c>
      <c r="B8" t="s">
        <v>0</v>
      </c>
      <c r="C8" t="s">
        <v>1</v>
      </c>
      <c r="D8" t="s">
        <v>7</v>
      </c>
      <c r="E8">
        <f t="shared" si="0"/>
        <v>7</v>
      </c>
      <c r="G8" s="91" t="s">
        <v>336</v>
      </c>
      <c r="H8" s="92"/>
      <c r="I8" s="92"/>
      <c r="J8" s="92"/>
      <c r="K8" s="93"/>
    </row>
    <row r="9" spans="1:11" ht="16" x14ac:dyDescent="0.2">
      <c r="A9">
        <v>1</v>
      </c>
      <c r="B9" t="s">
        <v>0</v>
      </c>
      <c r="C9" t="s">
        <v>8</v>
      </c>
      <c r="D9" t="s">
        <v>9</v>
      </c>
      <c r="E9">
        <f t="shared" si="0"/>
        <v>8</v>
      </c>
      <c r="G9" s="95"/>
      <c r="H9" s="92"/>
      <c r="I9" s="92"/>
      <c r="J9" s="92"/>
      <c r="K9" s="93"/>
    </row>
    <row r="10" spans="1:11" ht="16" x14ac:dyDescent="0.2">
      <c r="A10">
        <v>1</v>
      </c>
      <c r="B10" t="s">
        <v>0</v>
      </c>
      <c r="C10" t="s">
        <v>8</v>
      </c>
      <c r="D10" t="s">
        <v>10</v>
      </c>
      <c r="E10">
        <f t="shared" si="0"/>
        <v>9</v>
      </c>
      <c r="G10" s="108" t="s">
        <v>337</v>
      </c>
      <c r="H10" s="92"/>
      <c r="I10" s="92"/>
      <c r="J10" s="92"/>
      <c r="K10" s="93"/>
    </row>
    <row r="11" spans="1:11" ht="16" x14ac:dyDescent="0.2">
      <c r="A11">
        <v>1</v>
      </c>
      <c r="B11" t="s">
        <v>0</v>
      </c>
      <c r="C11" t="s">
        <v>8</v>
      </c>
      <c r="D11" t="s">
        <v>11</v>
      </c>
      <c r="E11">
        <f t="shared" si="0"/>
        <v>10</v>
      </c>
      <c r="G11" s="91" t="s">
        <v>338</v>
      </c>
      <c r="H11" s="97"/>
      <c r="I11" s="97"/>
      <c r="J11" s="97"/>
      <c r="K11" s="98"/>
    </row>
    <row r="12" spans="1:11" ht="16" x14ac:dyDescent="0.2">
      <c r="A12">
        <v>1</v>
      </c>
      <c r="B12" t="s">
        <v>0</v>
      </c>
      <c r="C12" t="s">
        <v>8</v>
      </c>
      <c r="D12" t="s">
        <v>12</v>
      </c>
      <c r="E12">
        <f t="shared" si="0"/>
        <v>11</v>
      </c>
      <c r="G12" s="95"/>
      <c r="H12" s="92"/>
      <c r="I12" s="92"/>
      <c r="J12" s="92"/>
      <c r="K12" s="93"/>
    </row>
    <row r="13" spans="1:11" ht="16" x14ac:dyDescent="0.2">
      <c r="A13">
        <v>1</v>
      </c>
      <c r="B13" t="s">
        <v>0</v>
      </c>
      <c r="C13" t="s">
        <v>8</v>
      </c>
      <c r="D13" t="s">
        <v>13</v>
      </c>
      <c r="E13">
        <f t="shared" si="0"/>
        <v>12</v>
      </c>
      <c r="G13" s="109" t="s">
        <v>212</v>
      </c>
      <c r="H13" s="92"/>
      <c r="I13" s="92"/>
      <c r="J13" s="92"/>
      <c r="K13" s="93"/>
    </row>
    <row r="14" spans="1:11" ht="16" x14ac:dyDescent="0.2">
      <c r="A14">
        <v>1</v>
      </c>
      <c r="B14" t="s">
        <v>0</v>
      </c>
      <c r="C14" t="s">
        <v>14</v>
      </c>
      <c r="D14" t="s">
        <v>15</v>
      </c>
      <c r="E14">
        <f t="shared" si="0"/>
        <v>13</v>
      </c>
      <c r="G14" s="99" t="s">
        <v>229</v>
      </c>
      <c r="H14" s="100"/>
      <c r="I14" s="100"/>
      <c r="J14" s="100"/>
      <c r="K14" s="101"/>
    </row>
    <row r="15" spans="1:11" ht="16" x14ac:dyDescent="0.2">
      <c r="A15">
        <v>1</v>
      </c>
      <c r="B15" t="s">
        <v>0</v>
      </c>
      <c r="C15" t="s">
        <v>14</v>
      </c>
      <c r="D15" t="s">
        <v>16</v>
      </c>
      <c r="E15">
        <f t="shared" si="0"/>
        <v>14</v>
      </c>
      <c r="G15" s="105" t="s">
        <v>230</v>
      </c>
      <c r="H15" s="106"/>
      <c r="I15" s="106"/>
      <c r="J15" s="106"/>
      <c r="K15" s="107"/>
    </row>
    <row r="16" spans="1:11" x14ac:dyDescent="0.2">
      <c r="A16">
        <v>1</v>
      </c>
      <c r="B16" t="s">
        <v>0</v>
      </c>
      <c r="C16" t="s">
        <v>14</v>
      </c>
      <c r="D16" t="s">
        <v>17</v>
      </c>
      <c r="E16">
        <f t="shared" si="0"/>
        <v>15</v>
      </c>
    </row>
    <row r="17" spans="1:5" x14ac:dyDescent="0.2">
      <c r="A17">
        <v>1</v>
      </c>
      <c r="B17" t="s">
        <v>0</v>
      </c>
      <c r="C17" t="s">
        <v>14</v>
      </c>
      <c r="D17" t="s">
        <v>18</v>
      </c>
      <c r="E17">
        <f t="shared" si="0"/>
        <v>16</v>
      </c>
    </row>
    <row r="18" spans="1:5" x14ac:dyDescent="0.2">
      <c r="A18">
        <v>2</v>
      </c>
      <c r="B18" t="s">
        <v>0</v>
      </c>
      <c r="C18" t="s">
        <v>14</v>
      </c>
      <c r="D18" t="s">
        <v>19</v>
      </c>
      <c r="E18">
        <f t="shared" si="0"/>
        <v>17</v>
      </c>
    </row>
    <row r="19" spans="1:5" x14ac:dyDescent="0.2">
      <c r="A19">
        <v>2</v>
      </c>
      <c r="B19" t="s">
        <v>20</v>
      </c>
      <c r="C19" t="s">
        <v>21</v>
      </c>
      <c r="D19" t="s">
        <v>22</v>
      </c>
      <c r="E19">
        <f t="shared" si="0"/>
        <v>18</v>
      </c>
    </row>
    <row r="20" spans="1:5" x14ac:dyDescent="0.2">
      <c r="A20">
        <v>2</v>
      </c>
      <c r="B20" t="s">
        <v>20</v>
      </c>
      <c r="C20" t="s">
        <v>21</v>
      </c>
      <c r="D20" t="s">
        <v>23</v>
      </c>
      <c r="E20">
        <f t="shared" si="0"/>
        <v>19</v>
      </c>
    </row>
    <row r="21" spans="1:5" x14ac:dyDescent="0.2">
      <c r="A21">
        <v>2</v>
      </c>
      <c r="B21" t="s">
        <v>20</v>
      </c>
      <c r="C21" t="s">
        <v>21</v>
      </c>
      <c r="D21" t="s">
        <v>24</v>
      </c>
      <c r="E21">
        <f t="shared" si="0"/>
        <v>20</v>
      </c>
    </row>
    <row r="22" spans="1:5" x14ac:dyDescent="0.2">
      <c r="A22">
        <v>2</v>
      </c>
      <c r="B22" t="s">
        <v>20</v>
      </c>
      <c r="C22" t="s">
        <v>21</v>
      </c>
      <c r="D22" t="s">
        <v>25</v>
      </c>
      <c r="E22">
        <f t="shared" si="0"/>
        <v>21</v>
      </c>
    </row>
    <row r="23" spans="1:5" x14ac:dyDescent="0.2">
      <c r="A23">
        <v>2</v>
      </c>
      <c r="B23" t="s">
        <v>20</v>
      </c>
      <c r="C23" t="s">
        <v>21</v>
      </c>
      <c r="D23" t="s">
        <v>26</v>
      </c>
      <c r="E23">
        <f t="shared" si="0"/>
        <v>22</v>
      </c>
    </row>
    <row r="24" spans="1:5" x14ac:dyDescent="0.2">
      <c r="A24">
        <v>2</v>
      </c>
      <c r="B24" t="s">
        <v>20</v>
      </c>
      <c r="C24" t="s">
        <v>27</v>
      </c>
      <c r="D24" t="s">
        <v>28</v>
      </c>
      <c r="E24">
        <f t="shared" si="0"/>
        <v>23</v>
      </c>
    </row>
    <row r="25" spans="1:5" x14ac:dyDescent="0.2">
      <c r="A25">
        <v>2</v>
      </c>
      <c r="B25" t="s">
        <v>20</v>
      </c>
      <c r="C25" t="s">
        <v>27</v>
      </c>
      <c r="D25" t="s">
        <v>29</v>
      </c>
      <c r="E25">
        <f t="shared" si="0"/>
        <v>24</v>
      </c>
    </row>
    <row r="26" spans="1:5" x14ac:dyDescent="0.2">
      <c r="A26">
        <v>2</v>
      </c>
      <c r="B26" t="s">
        <v>20</v>
      </c>
      <c r="C26" t="s">
        <v>27</v>
      </c>
      <c r="D26" t="s">
        <v>30</v>
      </c>
      <c r="E26">
        <f t="shared" si="0"/>
        <v>25</v>
      </c>
    </row>
    <row r="27" spans="1:5" x14ac:dyDescent="0.2">
      <c r="A27">
        <v>2</v>
      </c>
      <c r="B27" t="s">
        <v>20</v>
      </c>
      <c r="C27" t="s">
        <v>27</v>
      </c>
      <c r="D27" t="s">
        <v>31</v>
      </c>
      <c r="E27">
        <f t="shared" si="0"/>
        <v>26</v>
      </c>
    </row>
    <row r="28" spans="1:5" x14ac:dyDescent="0.2">
      <c r="A28">
        <v>2</v>
      </c>
      <c r="B28" t="s">
        <v>20</v>
      </c>
      <c r="C28" t="s">
        <v>32</v>
      </c>
      <c r="D28" t="s">
        <v>33</v>
      </c>
      <c r="E28">
        <f t="shared" si="0"/>
        <v>27</v>
      </c>
    </row>
    <row r="29" spans="1:5" x14ac:dyDescent="0.2">
      <c r="A29">
        <v>2</v>
      </c>
      <c r="B29" t="s">
        <v>20</v>
      </c>
      <c r="C29" t="s">
        <v>32</v>
      </c>
      <c r="D29" t="s">
        <v>34</v>
      </c>
      <c r="E29">
        <f t="shared" si="0"/>
        <v>28</v>
      </c>
    </row>
    <row r="30" spans="1:5" x14ac:dyDescent="0.2">
      <c r="A30">
        <v>2</v>
      </c>
      <c r="B30" t="s">
        <v>20</v>
      </c>
      <c r="C30" t="s">
        <v>32</v>
      </c>
      <c r="D30" t="s">
        <v>35</v>
      </c>
      <c r="E30">
        <f t="shared" si="0"/>
        <v>29</v>
      </c>
    </row>
    <row r="31" spans="1:5" x14ac:dyDescent="0.2">
      <c r="A31">
        <v>2</v>
      </c>
      <c r="B31" t="s">
        <v>20</v>
      </c>
      <c r="C31" t="s">
        <v>32</v>
      </c>
      <c r="D31" t="s">
        <v>36</v>
      </c>
      <c r="E31">
        <f t="shared" si="0"/>
        <v>30</v>
      </c>
    </row>
    <row r="32" spans="1:5" x14ac:dyDescent="0.2">
      <c r="A32">
        <v>2</v>
      </c>
      <c r="B32" t="s">
        <v>20</v>
      </c>
      <c r="C32" t="s">
        <v>32</v>
      </c>
      <c r="D32" t="s">
        <v>37</v>
      </c>
      <c r="E32">
        <f t="shared" si="0"/>
        <v>31</v>
      </c>
    </row>
    <row r="33" spans="1:5" x14ac:dyDescent="0.2">
      <c r="A33">
        <v>2</v>
      </c>
      <c r="B33" t="s">
        <v>20</v>
      </c>
      <c r="C33" t="s">
        <v>38</v>
      </c>
      <c r="D33" t="s">
        <v>39</v>
      </c>
      <c r="E33">
        <f t="shared" si="0"/>
        <v>32</v>
      </c>
    </row>
    <row r="34" spans="1:5" x14ac:dyDescent="0.2">
      <c r="A34">
        <v>2</v>
      </c>
      <c r="B34" t="s">
        <v>20</v>
      </c>
      <c r="C34" t="s">
        <v>38</v>
      </c>
      <c r="D34" t="s">
        <v>40</v>
      </c>
      <c r="E34">
        <f t="shared" si="0"/>
        <v>33</v>
      </c>
    </row>
    <row r="35" spans="1:5" x14ac:dyDescent="0.2">
      <c r="A35">
        <v>2</v>
      </c>
      <c r="B35" t="s">
        <v>20</v>
      </c>
      <c r="C35" t="s">
        <v>38</v>
      </c>
      <c r="D35" t="s">
        <v>41</v>
      </c>
      <c r="E35">
        <f t="shared" si="0"/>
        <v>34</v>
      </c>
    </row>
    <row r="36" spans="1:5" x14ac:dyDescent="0.2">
      <c r="A36">
        <v>2</v>
      </c>
      <c r="B36" t="s">
        <v>20</v>
      </c>
      <c r="C36" t="s">
        <v>38</v>
      </c>
      <c r="D36" t="s">
        <v>42</v>
      </c>
      <c r="E36">
        <f t="shared" si="0"/>
        <v>35</v>
      </c>
    </row>
    <row r="37" spans="1:5" x14ac:dyDescent="0.2">
      <c r="A37">
        <v>2</v>
      </c>
      <c r="B37" t="s">
        <v>20</v>
      </c>
      <c r="C37" t="s">
        <v>38</v>
      </c>
      <c r="D37" t="s">
        <v>43</v>
      </c>
      <c r="E37">
        <f t="shared" si="0"/>
        <v>36</v>
      </c>
    </row>
    <row r="38" spans="1:5" x14ac:dyDescent="0.2">
      <c r="A38">
        <v>3</v>
      </c>
      <c r="B38" t="s">
        <v>44</v>
      </c>
      <c r="C38" t="s">
        <v>45</v>
      </c>
      <c r="D38" t="s">
        <v>46</v>
      </c>
      <c r="E38">
        <f t="shared" si="0"/>
        <v>37</v>
      </c>
    </row>
    <row r="39" spans="1:5" x14ac:dyDescent="0.2">
      <c r="A39">
        <v>3</v>
      </c>
      <c r="B39" t="s">
        <v>44</v>
      </c>
      <c r="C39" t="s">
        <v>45</v>
      </c>
      <c r="D39" t="s">
        <v>47</v>
      </c>
      <c r="E39">
        <f t="shared" si="0"/>
        <v>38</v>
      </c>
    </row>
    <row r="40" spans="1:5" x14ac:dyDescent="0.2">
      <c r="A40">
        <v>3</v>
      </c>
      <c r="B40" t="s">
        <v>44</v>
      </c>
      <c r="C40" t="s">
        <v>45</v>
      </c>
      <c r="D40" t="s">
        <v>48</v>
      </c>
      <c r="E40">
        <f t="shared" si="0"/>
        <v>39</v>
      </c>
    </row>
    <row r="41" spans="1:5" x14ac:dyDescent="0.2">
      <c r="A41">
        <v>3</v>
      </c>
      <c r="B41" t="s">
        <v>44</v>
      </c>
      <c r="C41" t="s">
        <v>45</v>
      </c>
      <c r="D41" t="s">
        <v>49</v>
      </c>
      <c r="E41">
        <f t="shared" si="0"/>
        <v>40</v>
      </c>
    </row>
    <row r="42" spans="1:5" x14ac:dyDescent="0.2">
      <c r="A42">
        <v>3</v>
      </c>
      <c r="B42" t="s">
        <v>44</v>
      </c>
      <c r="C42" t="s">
        <v>45</v>
      </c>
      <c r="D42" t="s">
        <v>50</v>
      </c>
      <c r="E42">
        <f t="shared" si="0"/>
        <v>41</v>
      </c>
    </row>
    <row r="43" spans="1:5" x14ac:dyDescent="0.2">
      <c r="A43">
        <v>3</v>
      </c>
      <c r="B43" t="s">
        <v>44</v>
      </c>
      <c r="C43" t="s">
        <v>51</v>
      </c>
      <c r="D43" t="s">
        <v>52</v>
      </c>
      <c r="E43">
        <f t="shared" si="0"/>
        <v>42</v>
      </c>
    </row>
    <row r="44" spans="1:5" x14ac:dyDescent="0.2">
      <c r="A44">
        <v>3</v>
      </c>
      <c r="B44" t="s">
        <v>44</v>
      </c>
      <c r="C44" t="s">
        <v>51</v>
      </c>
      <c r="D44" t="s">
        <v>53</v>
      </c>
      <c r="E44">
        <f t="shared" si="0"/>
        <v>43</v>
      </c>
    </row>
    <row r="45" spans="1:5" x14ac:dyDescent="0.2">
      <c r="A45">
        <v>3</v>
      </c>
      <c r="B45" t="s">
        <v>44</v>
      </c>
      <c r="C45" t="s">
        <v>51</v>
      </c>
      <c r="D45" t="s">
        <v>54</v>
      </c>
      <c r="E45">
        <f t="shared" si="0"/>
        <v>44</v>
      </c>
    </row>
    <row r="46" spans="1:5" x14ac:dyDescent="0.2">
      <c r="A46">
        <v>3</v>
      </c>
      <c r="B46" t="s">
        <v>44</v>
      </c>
      <c r="C46" t="s">
        <v>51</v>
      </c>
      <c r="D46" t="s">
        <v>55</v>
      </c>
      <c r="E46">
        <f t="shared" si="0"/>
        <v>45</v>
      </c>
    </row>
    <row r="47" spans="1:5" x14ac:dyDescent="0.2">
      <c r="A47">
        <v>3</v>
      </c>
      <c r="B47" t="s">
        <v>44</v>
      </c>
      <c r="C47" t="s">
        <v>51</v>
      </c>
      <c r="D47" t="s">
        <v>56</v>
      </c>
      <c r="E47">
        <f t="shared" si="0"/>
        <v>46</v>
      </c>
    </row>
    <row r="48" spans="1:5" x14ac:dyDescent="0.2">
      <c r="A48">
        <v>3</v>
      </c>
      <c r="B48" t="s">
        <v>44</v>
      </c>
      <c r="C48" t="s">
        <v>57</v>
      </c>
      <c r="D48" t="s">
        <v>58</v>
      </c>
      <c r="E48">
        <f t="shared" si="0"/>
        <v>47</v>
      </c>
    </row>
    <row r="49" spans="1:5" x14ac:dyDescent="0.2">
      <c r="A49">
        <v>3</v>
      </c>
      <c r="B49" t="s">
        <v>44</v>
      </c>
      <c r="C49" t="s">
        <v>57</v>
      </c>
      <c r="D49" t="s">
        <v>59</v>
      </c>
      <c r="E49">
        <f t="shared" si="0"/>
        <v>48</v>
      </c>
    </row>
    <row r="50" spans="1:5" x14ac:dyDescent="0.2">
      <c r="A50">
        <v>3</v>
      </c>
      <c r="B50" t="s">
        <v>44</v>
      </c>
      <c r="C50" t="s">
        <v>57</v>
      </c>
      <c r="D50" t="s">
        <v>60</v>
      </c>
      <c r="E50">
        <f t="shared" si="0"/>
        <v>49</v>
      </c>
    </row>
    <row r="51" spans="1:5" x14ac:dyDescent="0.2">
      <c r="A51">
        <v>3</v>
      </c>
      <c r="B51" t="s">
        <v>44</v>
      </c>
      <c r="C51" t="s">
        <v>57</v>
      </c>
      <c r="D51" t="s">
        <v>61</v>
      </c>
      <c r="E51">
        <f t="shared" si="0"/>
        <v>50</v>
      </c>
    </row>
    <row r="52" spans="1:5" x14ac:dyDescent="0.2">
      <c r="A52">
        <v>3</v>
      </c>
      <c r="B52" t="s">
        <v>44</v>
      </c>
      <c r="C52" t="s">
        <v>57</v>
      </c>
      <c r="D52" t="s">
        <v>62</v>
      </c>
      <c r="E52">
        <f t="shared" si="0"/>
        <v>51</v>
      </c>
    </row>
    <row r="53" spans="1:5" x14ac:dyDescent="0.2">
      <c r="A53">
        <v>3</v>
      </c>
      <c r="B53" t="s">
        <v>44</v>
      </c>
      <c r="C53" t="s">
        <v>63</v>
      </c>
      <c r="D53" t="s">
        <v>64</v>
      </c>
      <c r="E53">
        <f t="shared" si="0"/>
        <v>52</v>
      </c>
    </row>
    <row r="54" spans="1:5" x14ac:dyDescent="0.2">
      <c r="A54">
        <v>3</v>
      </c>
      <c r="B54" t="s">
        <v>44</v>
      </c>
      <c r="C54" t="s">
        <v>63</v>
      </c>
      <c r="D54" t="s">
        <v>53</v>
      </c>
      <c r="E54">
        <f t="shared" si="0"/>
        <v>53</v>
      </c>
    </row>
    <row r="55" spans="1:5" x14ac:dyDescent="0.2">
      <c r="A55">
        <v>3</v>
      </c>
      <c r="B55" t="s">
        <v>44</v>
      </c>
      <c r="C55" t="s">
        <v>63</v>
      </c>
      <c r="D55" t="s">
        <v>65</v>
      </c>
      <c r="E55">
        <f t="shared" si="0"/>
        <v>54</v>
      </c>
    </row>
    <row r="56" spans="1:5" x14ac:dyDescent="0.2">
      <c r="A56">
        <v>3</v>
      </c>
      <c r="B56" t="s">
        <v>44</v>
      </c>
      <c r="C56" t="s">
        <v>63</v>
      </c>
      <c r="D56" t="s">
        <v>66</v>
      </c>
      <c r="E56">
        <f t="shared" si="0"/>
        <v>55</v>
      </c>
    </row>
    <row r="57" spans="1:5" x14ac:dyDescent="0.2">
      <c r="A57">
        <v>3</v>
      </c>
      <c r="B57" t="s">
        <v>44</v>
      </c>
      <c r="C57" t="s">
        <v>63</v>
      </c>
      <c r="D57" t="s">
        <v>67</v>
      </c>
      <c r="E57">
        <f t="shared" si="0"/>
        <v>56</v>
      </c>
    </row>
    <row r="58" spans="1:5" x14ac:dyDescent="0.2">
      <c r="A58">
        <v>3</v>
      </c>
      <c r="B58" t="s">
        <v>44</v>
      </c>
      <c r="C58" t="s">
        <v>68</v>
      </c>
      <c r="D58" t="s">
        <v>69</v>
      </c>
      <c r="E58">
        <f t="shared" si="0"/>
        <v>57</v>
      </c>
    </row>
    <row r="59" spans="1:5" x14ac:dyDescent="0.2">
      <c r="A59">
        <v>3</v>
      </c>
      <c r="B59" t="s">
        <v>44</v>
      </c>
      <c r="C59" t="s">
        <v>68</v>
      </c>
      <c r="D59" t="s">
        <v>70</v>
      </c>
      <c r="E59">
        <f t="shared" si="0"/>
        <v>58</v>
      </c>
    </row>
    <row r="60" spans="1:5" x14ac:dyDescent="0.2">
      <c r="A60">
        <v>3</v>
      </c>
      <c r="B60" t="s">
        <v>44</v>
      </c>
      <c r="C60" t="s">
        <v>68</v>
      </c>
      <c r="D60" t="s">
        <v>71</v>
      </c>
      <c r="E60">
        <f t="shared" si="0"/>
        <v>59</v>
      </c>
    </row>
    <row r="61" spans="1:5" x14ac:dyDescent="0.2">
      <c r="A61">
        <v>3</v>
      </c>
      <c r="B61" t="s">
        <v>44</v>
      </c>
      <c r="C61" t="s">
        <v>68</v>
      </c>
      <c r="D61" t="s">
        <v>67</v>
      </c>
      <c r="E61">
        <f t="shared" si="0"/>
        <v>60</v>
      </c>
    </row>
    <row r="62" spans="1:5" x14ac:dyDescent="0.2">
      <c r="A62">
        <v>3</v>
      </c>
      <c r="B62" t="s">
        <v>44</v>
      </c>
      <c r="C62" t="s">
        <v>68</v>
      </c>
      <c r="D62" t="s">
        <v>72</v>
      </c>
      <c r="E62">
        <f t="shared" si="0"/>
        <v>61</v>
      </c>
    </row>
    <row r="63" spans="1:5" x14ac:dyDescent="0.2">
      <c r="A63">
        <v>3</v>
      </c>
      <c r="B63" t="s">
        <v>44</v>
      </c>
      <c r="C63" t="s">
        <v>73</v>
      </c>
      <c r="D63" t="s">
        <v>168</v>
      </c>
      <c r="E63">
        <f t="shared" si="0"/>
        <v>62</v>
      </c>
    </row>
    <row r="64" spans="1:5" x14ac:dyDescent="0.2">
      <c r="A64">
        <v>3</v>
      </c>
      <c r="B64" t="s">
        <v>44</v>
      </c>
      <c r="C64" t="s">
        <v>73</v>
      </c>
      <c r="D64" t="s">
        <v>74</v>
      </c>
      <c r="E64">
        <f t="shared" si="0"/>
        <v>63</v>
      </c>
    </row>
    <row r="65" spans="1:5" x14ac:dyDescent="0.2">
      <c r="A65">
        <v>3</v>
      </c>
      <c r="B65" t="s">
        <v>44</v>
      </c>
      <c r="C65" t="s">
        <v>73</v>
      </c>
      <c r="D65" t="s">
        <v>75</v>
      </c>
      <c r="E65">
        <f t="shared" si="0"/>
        <v>64</v>
      </c>
    </row>
    <row r="66" spans="1:5" x14ac:dyDescent="0.2">
      <c r="A66">
        <v>3</v>
      </c>
      <c r="B66" t="s">
        <v>44</v>
      </c>
      <c r="C66" t="s">
        <v>73</v>
      </c>
      <c r="D66" t="s">
        <v>76</v>
      </c>
      <c r="E66">
        <f t="shared" si="0"/>
        <v>65</v>
      </c>
    </row>
    <row r="67" spans="1:5" x14ac:dyDescent="0.2">
      <c r="A67">
        <v>3</v>
      </c>
      <c r="B67" t="s">
        <v>44</v>
      </c>
      <c r="C67" t="s">
        <v>169</v>
      </c>
      <c r="D67" t="s">
        <v>169</v>
      </c>
      <c r="E67">
        <f t="shared" ref="E67:E130" si="1">ROW()-1</f>
        <v>66</v>
      </c>
    </row>
    <row r="68" spans="1:5" x14ac:dyDescent="0.2">
      <c r="A68">
        <v>4</v>
      </c>
      <c r="B68" t="s">
        <v>77</v>
      </c>
      <c r="C68" t="s">
        <v>78</v>
      </c>
      <c r="D68" t="s">
        <v>78</v>
      </c>
      <c r="E68">
        <f t="shared" si="1"/>
        <v>67</v>
      </c>
    </row>
    <row r="69" spans="1:5" x14ac:dyDescent="0.2">
      <c r="A69">
        <v>4</v>
      </c>
      <c r="B69" t="s">
        <v>77</v>
      </c>
      <c r="C69" t="s">
        <v>78</v>
      </c>
      <c r="D69" t="s">
        <v>79</v>
      </c>
      <c r="E69">
        <f t="shared" si="1"/>
        <v>68</v>
      </c>
    </row>
    <row r="70" spans="1:5" x14ac:dyDescent="0.2">
      <c r="A70">
        <v>4</v>
      </c>
      <c r="B70" t="s">
        <v>77</v>
      </c>
      <c r="C70" t="s">
        <v>78</v>
      </c>
      <c r="D70" t="s">
        <v>80</v>
      </c>
      <c r="E70">
        <f t="shared" si="1"/>
        <v>69</v>
      </c>
    </row>
    <row r="71" spans="1:5" x14ac:dyDescent="0.2">
      <c r="A71">
        <v>4</v>
      </c>
      <c r="B71" t="s">
        <v>77</v>
      </c>
      <c r="C71" t="s">
        <v>78</v>
      </c>
      <c r="D71" t="s">
        <v>81</v>
      </c>
      <c r="E71">
        <f t="shared" si="1"/>
        <v>70</v>
      </c>
    </row>
    <row r="72" spans="1:5" x14ac:dyDescent="0.2">
      <c r="A72">
        <v>4</v>
      </c>
      <c r="B72" t="s">
        <v>77</v>
      </c>
      <c r="C72" t="s">
        <v>82</v>
      </c>
      <c r="D72" t="s">
        <v>83</v>
      </c>
      <c r="E72">
        <f t="shared" si="1"/>
        <v>71</v>
      </c>
    </row>
    <row r="73" spans="1:5" x14ac:dyDescent="0.2">
      <c r="A73">
        <v>4</v>
      </c>
      <c r="B73" t="s">
        <v>77</v>
      </c>
      <c r="C73" t="s">
        <v>82</v>
      </c>
      <c r="D73" t="s">
        <v>84</v>
      </c>
      <c r="E73">
        <f t="shared" si="1"/>
        <v>72</v>
      </c>
    </row>
    <row r="74" spans="1:5" x14ac:dyDescent="0.2">
      <c r="A74">
        <v>4</v>
      </c>
      <c r="B74" t="s">
        <v>77</v>
      </c>
      <c r="C74" t="s">
        <v>82</v>
      </c>
      <c r="D74" t="s">
        <v>85</v>
      </c>
      <c r="E74">
        <f t="shared" si="1"/>
        <v>73</v>
      </c>
    </row>
    <row r="75" spans="1:5" x14ac:dyDescent="0.2">
      <c r="A75">
        <v>4</v>
      </c>
      <c r="B75" t="s">
        <v>77</v>
      </c>
      <c r="C75" t="s">
        <v>86</v>
      </c>
      <c r="D75" t="s">
        <v>87</v>
      </c>
      <c r="E75">
        <f t="shared" si="1"/>
        <v>74</v>
      </c>
    </row>
    <row r="76" spans="1:5" x14ac:dyDescent="0.2">
      <c r="A76">
        <v>4</v>
      </c>
      <c r="B76" t="s">
        <v>77</v>
      </c>
      <c r="C76" t="s">
        <v>86</v>
      </c>
      <c r="D76" t="s">
        <v>88</v>
      </c>
      <c r="E76">
        <f t="shared" si="1"/>
        <v>75</v>
      </c>
    </row>
    <row r="77" spans="1:5" x14ac:dyDescent="0.2">
      <c r="A77">
        <v>4</v>
      </c>
      <c r="B77" t="s">
        <v>77</v>
      </c>
      <c r="C77" t="s">
        <v>86</v>
      </c>
      <c r="D77" t="s">
        <v>89</v>
      </c>
      <c r="E77">
        <f t="shared" si="1"/>
        <v>76</v>
      </c>
    </row>
    <row r="78" spans="1:5" x14ac:dyDescent="0.2">
      <c r="A78">
        <v>4</v>
      </c>
      <c r="B78" t="s">
        <v>90</v>
      </c>
      <c r="C78" t="s">
        <v>71</v>
      </c>
      <c r="D78" t="s">
        <v>91</v>
      </c>
      <c r="E78">
        <f t="shared" si="1"/>
        <v>77</v>
      </c>
    </row>
    <row r="79" spans="1:5" x14ac:dyDescent="0.2">
      <c r="A79">
        <v>4</v>
      </c>
      <c r="B79" t="s">
        <v>90</v>
      </c>
      <c r="C79" t="s">
        <v>71</v>
      </c>
      <c r="D79" t="s">
        <v>92</v>
      </c>
      <c r="E79">
        <f t="shared" si="1"/>
        <v>78</v>
      </c>
    </row>
    <row r="80" spans="1:5" x14ac:dyDescent="0.2">
      <c r="A80">
        <v>4</v>
      </c>
      <c r="B80" t="s">
        <v>90</v>
      </c>
      <c r="C80" t="s">
        <v>71</v>
      </c>
      <c r="D80" t="s">
        <v>93</v>
      </c>
      <c r="E80">
        <f t="shared" si="1"/>
        <v>79</v>
      </c>
    </row>
    <row r="81" spans="1:5" x14ac:dyDescent="0.2">
      <c r="A81">
        <v>4</v>
      </c>
      <c r="B81" t="s">
        <v>90</v>
      </c>
      <c r="C81" t="s">
        <v>71</v>
      </c>
      <c r="D81" t="s">
        <v>94</v>
      </c>
      <c r="E81">
        <f t="shared" si="1"/>
        <v>80</v>
      </c>
    </row>
    <row r="82" spans="1:5" x14ac:dyDescent="0.2">
      <c r="A82">
        <v>5</v>
      </c>
      <c r="B82" t="s">
        <v>90</v>
      </c>
      <c r="C82" t="s">
        <v>71</v>
      </c>
      <c r="D82" t="s">
        <v>67</v>
      </c>
      <c r="E82">
        <f t="shared" si="1"/>
        <v>81</v>
      </c>
    </row>
    <row r="83" spans="1:5" x14ac:dyDescent="0.2">
      <c r="A83">
        <v>5</v>
      </c>
      <c r="B83" t="s">
        <v>90</v>
      </c>
      <c r="C83" t="s">
        <v>95</v>
      </c>
      <c r="D83" t="s">
        <v>96</v>
      </c>
      <c r="E83">
        <f t="shared" si="1"/>
        <v>82</v>
      </c>
    </row>
    <row r="84" spans="1:5" x14ac:dyDescent="0.2">
      <c r="A84">
        <v>5</v>
      </c>
      <c r="B84" t="s">
        <v>90</v>
      </c>
      <c r="C84" t="s">
        <v>95</v>
      </c>
      <c r="D84" t="s">
        <v>97</v>
      </c>
      <c r="E84">
        <f t="shared" si="1"/>
        <v>83</v>
      </c>
    </row>
    <row r="85" spans="1:5" x14ac:dyDescent="0.2">
      <c r="A85">
        <v>5</v>
      </c>
      <c r="B85" t="s">
        <v>90</v>
      </c>
      <c r="C85" t="s">
        <v>95</v>
      </c>
      <c r="D85" t="s">
        <v>98</v>
      </c>
      <c r="E85">
        <f t="shared" si="1"/>
        <v>84</v>
      </c>
    </row>
    <row r="86" spans="1:5" x14ac:dyDescent="0.2">
      <c r="A86">
        <v>5</v>
      </c>
      <c r="B86" t="s">
        <v>90</v>
      </c>
      <c r="C86" t="s">
        <v>95</v>
      </c>
      <c r="D86" t="s">
        <v>99</v>
      </c>
      <c r="E86">
        <f t="shared" si="1"/>
        <v>85</v>
      </c>
    </row>
    <row r="87" spans="1:5" x14ac:dyDescent="0.2">
      <c r="A87">
        <v>5</v>
      </c>
      <c r="B87" t="s">
        <v>90</v>
      </c>
      <c r="C87" t="s">
        <v>95</v>
      </c>
      <c r="D87" t="s">
        <v>100</v>
      </c>
      <c r="E87">
        <f t="shared" si="1"/>
        <v>86</v>
      </c>
    </row>
    <row r="88" spans="1:5" x14ac:dyDescent="0.2">
      <c r="A88">
        <v>5</v>
      </c>
      <c r="B88" t="s">
        <v>90</v>
      </c>
      <c r="C88" t="s">
        <v>101</v>
      </c>
      <c r="D88" t="s">
        <v>102</v>
      </c>
      <c r="E88">
        <f t="shared" si="1"/>
        <v>87</v>
      </c>
    </row>
    <row r="89" spans="1:5" x14ac:dyDescent="0.2">
      <c r="A89">
        <v>5</v>
      </c>
      <c r="B89" t="s">
        <v>90</v>
      </c>
      <c r="C89" t="s">
        <v>101</v>
      </c>
      <c r="D89" t="s">
        <v>103</v>
      </c>
      <c r="E89">
        <f t="shared" si="1"/>
        <v>88</v>
      </c>
    </row>
    <row r="90" spans="1:5" x14ac:dyDescent="0.2">
      <c r="A90">
        <v>5</v>
      </c>
      <c r="B90" t="s">
        <v>90</v>
      </c>
      <c r="C90" t="s">
        <v>101</v>
      </c>
      <c r="D90" t="s">
        <v>104</v>
      </c>
      <c r="E90">
        <f t="shared" si="1"/>
        <v>89</v>
      </c>
    </row>
    <row r="91" spans="1:5" x14ac:dyDescent="0.2">
      <c r="A91">
        <v>5</v>
      </c>
      <c r="B91" t="s">
        <v>90</v>
      </c>
      <c r="C91" t="s">
        <v>101</v>
      </c>
      <c r="D91" t="s">
        <v>105</v>
      </c>
      <c r="E91">
        <f t="shared" si="1"/>
        <v>90</v>
      </c>
    </row>
    <row r="92" spans="1:5" x14ac:dyDescent="0.2">
      <c r="A92">
        <v>5</v>
      </c>
      <c r="B92" t="s">
        <v>90</v>
      </c>
      <c r="C92" t="s">
        <v>101</v>
      </c>
      <c r="D92" t="s">
        <v>106</v>
      </c>
      <c r="E92">
        <f t="shared" si="1"/>
        <v>91</v>
      </c>
    </row>
    <row r="93" spans="1:5" x14ac:dyDescent="0.2">
      <c r="A93">
        <v>5</v>
      </c>
      <c r="B93" t="s">
        <v>90</v>
      </c>
      <c r="C93" t="s">
        <v>107</v>
      </c>
      <c r="D93" t="s">
        <v>108</v>
      </c>
      <c r="E93">
        <f t="shared" si="1"/>
        <v>92</v>
      </c>
    </row>
    <row r="94" spans="1:5" x14ac:dyDescent="0.2">
      <c r="A94">
        <v>5</v>
      </c>
      <c r="B94" t="s">
        <v>90</v>
      </c>
      <c r="C94" t="s">
        <v>107</v>
      </c>
      <c r="D94" t="s">
        <v>109</v>
      </c>
      <c r="E94">
        <f t="shared" si="1"/>
        <v>93</v>
      </c>
    </row>
    <row r="95" spans="1:5" x14ac:dyDescent="0.2">
      <c r="A95">
        <v>5</v>
      </c>
      <c r="B95" t="s">
        <v>90</v>
      </c>
      <c r="C95" t="s">
        <v>107</v>
      </c>
      <c r="D95" t="s">
        <v>110</v>
      </c>
      <c r="E95">
        <f t="shared" si="1"/>
        <v>94</v>
      </c>
    </row>
    <row r="96" spans="1:5" x14ac:dyDescent="0.2">
      <c r="A96">
        <v>5</v>
      </c>
      <c r="B96" t="s">
        <v>90</v>
      </c>
      <c r="C96" t="s">
        <v>111</v>
      </c>
      <c r="D96" t="s">
        <v>112</v>
      </c>
      <c r="E96">
        <f t="shared" si="1"/>
        <v>95</v>
      </c>
    </row>
    <row r="97" spans="1:5" x14ac:dyDescent="0.2">
      <c r="A97">
        <v>5</v>
      </c>
      <c r="B97" t="s">
        <v>90</v>
      </c>
      <c r="C97" t="s">
        <v>111</v>
      </c>
      <c r="D97" t="s">
        <v>113</v>
      </c>
      <c r="E97">
        <f t="shared" si="1"/>
        <v>96</v>
      </c>
    </row>
    <row r="98" spans="1:5" x14ac:dyDescent="0.2">
      <c r="A98">
        <v>5</v>
      </c>
      <c r="B98" t="s">
        <v>90</v>
      </c>
      <c r="C98" t="s">
        <v>111</v>
      </c>
      <c r="D98" t="s">
        <v>114</v>
      </c>
      <c r="E98">
        <f t="shared" si="1"/>
        <v>97</v>
      </c>
    </row>
    <row r="99" spans="1:5" x14ac:dyDescent="0.2">
      <c r="A99">
        <v>5</v>
      </c>
      <c r="B99" t="s">
        <v>90</v>
      </c>
      <c r="C99" t="s">
        <v>115</v>
      </c>
      <c r="D99" t="s">
        <v>116</v>
      </c>
      <c r="E99">
        <f t="shared" si="1"/>
        <v>98</v>
      </c>
    </row>
    <row r="100" spans="1:5" x14ac:dyDescent="0.2">
      <c r="A100">
        <v>5</v>
      </c>
      <c r="B100" t="s">
        <v>90</v>
      </c>
      <c r="C100" t="s">
        <v>115</v>
      </c>
      <c r="D100" t="s">
        <v>117</v>
      </c>
      <c r="E100">
        <f t="shared" si="1"/>
        <v>99</v>
      </c>
    </row>
    <row r="101" spans="1:5" x14ac:dyDescent="0.2">
      <c r="A101">
        <v>5</v>
      </c>
      <c r="B101" t="s">
        <v>90</v>
      </c>
      <c r="C101" t="s">
        <v>115</v>
      </c>
      <c r="D101" t="s">
        <v>118</v>
      </c>
      <c r="E101">
        <f t="shared" si="1"/>
        <v>100</v>
      </c>
    </row>
    <row r="102" spans="1:5" x14ac:dyDescent="0.2">
      <c r="A102">
        <v>5</v>
      </c>
      <c r="B102" t="s">
        <v>90</v>
      </c>
      <c r="C102" t="s">
        <v>115</v>
      </c>
      <c r="D102" t="s">
        <v>119</v>
      </c>
      <c r="E102">
        <f t="shared" si="1"/>
        <v>101</v>
      </c>
    </row>
    <row r="103" spans="1:5" x14ac:dyDescent="0.2">
      <c r="A103">
        <v>5</v>
      </c>
      <c r="B103" t="s">
        <v>90</v>
      </c>
      <c r="C103" t="s">
        <v>115</v>
      </c>
      <c r="D103" t="s">
        <v>81</v>
      </c>
      <c r="E103">
        <f t="shared" si="1"/>
        <v>102</v>
      </c>
    </row>
    <row r="104" spans="1:5" x14ac:dyDescent="0.2">
      <c r="A104">
        <v>5</v>
      </c>
      <c r="B104" t="s">
        <v>120</v>
      </c>
      <c r="C104" t="s">
        <v>121</v>
      </c>
      <c r="D104" t="s">
        <v>122</v>
      </c>
      <c r="E104">
        <f t="shared" si="1"/>
        <v>103</v>
      </c>
    </row>
    <row r="105" spans="1:5" x14ac:dyDescent="0.2">
      <c r="A105">
        <v>5</v>
      </c>
      <c r="B105" t="s">
        <v>120</v>
      </c>
      <c r="C105" t="s">
        <v>121</v>
      </c>
      <c r="D105" t="s">
        <v>123</v>
      </c>
      <c r="E105">
        <f t="shared" si="1"/>
        <v>104</v>
      </c>
    </row>
    <row r="106" spans="1:5" x14ac:dyDescent="0.2">
      <c r="A106">
        <v>5</v>
      </c>
      <c r="B106" t="s">
        <v>120</v>
      </c>
      <c r="C106" t="s">
        <v>121</v>
      </c>
      <c r="D106" t="s">
        <v>124</v>
      </c>
      <c r="E106">
        <f t="shared" si="1"/>
        <v>105</v>
      </c>
    </row>
    <row r="107" spans="1:5" x14ac:dyDescent="0.2">
      <c r="A107">
        <v>5</v>
      </c>
      <c r="B107" t="s">
        <v>120</v>
      </c>
      <c r="C107" t="s">
        <v>121</v>
      </c>
      <c r="D107" t="s">
        <v>125</v>
      </c>
      <c r="E107">
        <f t="shared" si="1"/>
        <v>106</v>
      </c>
    </row>
    <row r="108" spans="1:5" x14ac:dyDescent="0.2">
      <c r="A108">
        <v>6</v>
      </c>
      <c r="B108" t="s">
        <v>120</v>
      </c>
      <c r="C108" t="s">
        <v>121</v>
      </c>
      <c r="D108" t="s">
        <v>126</v>
      </c>
      <c r="E108">
        <f t="shared" si="1"/>
        <v>107</v>
      </c>
    </row>
    <row r="109" spans="1:5" x14ac:dyDescent="0.2">
      <c r="A109">
        <v>6</v>
      </c>
      <c r="B109" t="s">
        <v>120</v>
      </c>
      <c r="C109" t="s">
        <v>127</v>
      </c>
      <c r="D109" t="s">
        <v>128</v>
      </c>
      <c r="E109">
        <f t="shared" si="1"/>
        <v>108</v>
      </c>
    </row>
    <row r="110" spans="1:5" x14ac:dyDescent="0.2">
      <c r="A110">
        <v>6</v>
      </c>
      <c r="B110" t="s">
        <v>120</v>
      </c>
      <c r="C110" t="s">
        <v>127</v>
      </c>
      <c r="D110" t="s">
        <v>129</v>
      </c>
      <c r="E110">
        <f t="shared" si="1"/>
        <v>109</v>
      </c>
    </row>
    <row r="111" spans="1:5" x14ac:dyDescent="0.2">
      <c r="A111">
        <v>6</v>
      </c>
      <c r="B111" t="s">
        <v>120</v>
      </c>
      <c r="C111" t="s">
        <v>127</v>
      </c>
      <c r="D111" t="s">
        <v>124</v>
      </c>
      <c r="E111">
        <f t="shared" si="1"/>
        <v>110</v>
      </c>
    </row>
    <row r="112" spans="1:5" x14ac:dyDescent="0.2">
      <c r="A112">
        <v>6</v>
      </c>
      <c r="B112" t="s">
        <v>120</v>
      </c>
      <c r="C112" t="s">
        <v>127</v>
      </c>
      <c r="D112" t="s">
        <v>130</v>
      </c>
      <c r="E112">
        <f t="shared" si="1"/>
        <v>111</v>
      </c>
    </row>
    <row r="113" spans="1:5" x14ac:dyDescent="0.2">
      <c r="A113">
        <v>6</v>
      </c>
      <c r="B113" t="s">
        <v>120</v>
      </c>
      <c r="C113" t="s">
        <v>127</v>
      </c>
      <c r="D113" t="s">
        <v>131</v>
      </c>
      <c r="E113">
        <f t="shared" si="1"/>
        <v>112</v>
      </c>
    </row>
    <row r="114" spans="1:5" x14ac:dyDescent="0.2">
      <c r="A114">
        <v>6</v>
      </c>
      <c r="B114" t="s">
        <v>120</v>
      </c>
      <c r="C114" t="s">
        <v>132</v>
      </c>
      <c r="D114" t="s">
        <v>133</v>
      </c>
      <c r="E114">
        <f t="shared" si="1"/>
        <v>113</v>
      </c>
    </row>
    <row r="115" spans="1:5" x14ac:dyDescent="0.2">
      <c r="A115">
        <v>6</v>
      </c>
      <c r="B115" t="s">
        <v>120</v>
      </c>
      <c r="C115" t="s">
        <v>132</v>
      </c>
      <c r="D115" t="s">
        <v>134</v>
      </c>
      <c r="E115">
        <f t="shared" si="1"/>
        <v>114</v>
      </c>
    </row>
    <row r="116" spans="1:5" x14ac:dyDescent="0.2">
      <c r="A116">
        <v>6</v>
      </c>
      <c r="B116" t="s">
        <v>120</v>
      </c>
      <c r="C116" t="s">
        <v>132</v>
      </c>
      <c r="D116" t="s">
        <v>135</v>
      </c>
      <c r="E116">
        <f t="shared" si="1"/>
        <v>115</v>
      </c>
    </row>
    <row r="117" spans="1:5" x14ac:dyDescent="0.2">
      <c r="A117">
        <v>6</v>
      </c>
      <c r="B117" t="s">
        <v>120</v>
      </c>
      <c r="C117" t="s">
        <v>132</v>
      </c>
      <c r="D117" t="s">
        <v>136</v>
      </c>
      <c r="E117">
        <f t="shared" si="1"/>
        <v>116</v>
      </c>
    </row>
    <row r="118" spans="1:5" x14ac:dyDescent="0.2">
      <c r="A118">
        <v>6</v>
      </c>
      <c r="B118" t="s">
        <v>120</v>
      </c>
      <c r="C118" t="s">
        <v>132</v>
      </c>
      <c r="D118" t="s">
        <v>137</v>
      </c>
      <c r="E118">
        <f t="shared" si="1"/>
        <v>117</v>
      </c>
    </row>
    <row r="119" spans="1:5" x14ac:dyDescent="0.2">
      <c r="A119">
        <v>6</v>
      </c>
      <c r="B119" t="s">
        <v>120</v>
      </c>
      <c r="C119" t="s">
        <v>138</v>
      </c>
      <c r="D119" t="s">
        <v>139</v>
      </c>
      <c r="E119">
        <f t="shared" si="1"/>
        <v>118</v>
      </c>
    </row>
    <row r="120" spans="1:5" x14ac:dyDescent="0.2">
      <c r="A120">
        <v>6</v>
      </c>
      <c r="B120" t="s">
        <v>120</v>
      </c>
      <c r="C120" t="s">
        <v>138</v>
      </c>
      <c r="D120" t="s">
        <v>140</v>
      </c>
      <c r="E120">
        <f t="shared" si="1"/>
        <v>119</v>
      </c>
    </row>
    <row r="121" spans="1:5" x14ac:dyDescent="0.2">
      <c r="A121">
        <v>6</v>
      </c>
      <c r="B121" t="s">
        <v>120</v>
      </c>
      <c r="C121" t="s">
        <v>138</v>
      </c>
      <c r="D121" t="s">
        <v>141</v>
      </c>
      <c r="E121">
        <f t="shared" si="1"/>
        <v>120</v>
      </c>
    </row>
    <row r="122" spans="1:5" x14ac:dyDescent="0.2">
      <c r="A122">
        <v>6</v>
      </c>
      <c r="B122" t="s">
        <v>120</v>
      </c>
      <c r="C122" t="s">
        <v>138</v>
      </c>
      <c r="D122" t="s">
        <v>142</v>
      </c>
      <c r="E122">
        <f t="shared" si="1"/>
        <v>121</v>
      </c>
    </row>
    <row r="123" spans="1:5" x14ac:dyDescent="0.2">
      <c r="A123">
        <v>6</v>
      </c>
      <c r="B123" t="s">
        <v>120</v>
      </c>
      <c r="C123" t="s">
        <v>138</v>
      </c>
      <c r="D123" t="s">
        <v>109</v>
      </c>
      <c r="E123">
        <f t="shared" si="1"/>
        <v>122</v>
      </c>
    </row>
    <row r="124" spans="1:5" x14ac:dyDescent="0.2">
      <c r="A124">
        <v>6</v>
      </c>
      <c r="B124" t="s">
        <v>143</v>
      </c>
      <c r="C124" t="s">
        <v>144</v>
      </c>
      <c r="D124" t="s">
        <v>145</v>
      </c>
      <c r="E124">
        <f t="shared" si="1"/>
        <v>123</v>
      </c>
    </row>
    <row r="125" spans="1:5" x14ac:dyDescent="0.2">
      <c r="A125">
        <v>6</v>
      </c>
      <c r="B125" t="s">
        <v>143</v>
      </c>
      <c r="C125" t="s">
        <v>144</v>
      </c>
      <c r="D125" t="s">
        <v>146</v>
      </c>
      <c r="E125">
        <f t="shared" si="1"/>
        <v>124</v>
      </c>
    </row>
    <row r="126" spans="1:5" x14ac:dyDescent="0.2">
      <c r="A126">
        <v>6</v>
      </c>
      <c r="B126" t="s">
        <v>143</v>
      </c>
      <c r="C126" t="s">
        <v>144</v>
      </c>
      <c r="D126" t="s">
        <v>147</v>
      </c>
      <c r="E126">
        <f t="shared" si="1"/>
        <v>125</v>
      </c>
    </row>
    <row r="127" spans="1:5" x14ac:dyDescent="0.2">
      <c r="A127">
        <v>6</v>
      </c>
      <c r="B127" t="s">
        <v>143</v>
      </c>
      <c r="C127" t="s">
        <v>144</v>
      </c>
      <c r="D127" t="s">
        <v>148</v>
      </c>
      <c r="E127">
        <f t="shared" si="1"/>
        <v>126</v>
      </c>
    </row>
    <row r="128" spans="1:5" x14ac:dyDescent="0.2">
      <c r="A128">
        <v>7</v>
      </c>
      <c r="B128" t="s">
        <v>143</v>
      </c>
      <c r="C128" t="s">
        <v>144</v>
      </c>
      <c r="D128" t="s">
        <v>149</v>
      </c>
      <c r="E128">
        <f t="shared" si="1"/>
        <v>127</v>
      </c>
    </row>
    <row r="129" spans="1:5" x14ac:dyDescent="0.2">
      <c r="A129">
        <v>7</v>
      </c>
      <c r="B129" t="s">
        <v>143</v>
      </c>
      <c r="C129" t="s">
        <v>150</v>
      </c>
      <c r="D129" t="s">
        <v>151</v>
      </c>
      <c r="E129">
        <f t="shared" si="1"/>
        <v>128</v>
      </c>
    </row>
    <row r="130" spans="1:5" x14ac:dyDescent="0.2">
      <c r="A130">
        <v>7</v>
      </c>
      <c r="B130" t="s">
        <v>143</v>
      </c>
      <c r="C130" t="s">
        <v>150</v>
      </c>
      <c r="D130" t="s">
        <v>152</v>
      </c>
      <c r="E130">
        <f t="shared" si="1"/>
        <v>129</v>
      </c>
    </row>
    <row r="131" spans="1:5" x14ac:dyDescent="0.2">
      <c r="A131">
        <v>7</v>
      </c>
      <c r="B131" t="s">
        <v>143</v>
      </c>
      <c r="C131" t="s">
        <v>150</v>
      </c>
      <c r="D131" t="s">
        <v>153</v>
      </c>
      <c r="E131">
        <f t="shared" ref="E131:E138" si="2">ROW()-1</f>
        <v>130</v>
      </c>
    </row>
    <row r="132" spans="1:5" x14ac:dyDescent="0.2">
      <c r="A132">
        <v>7</v>
      </c>
      <c r="B132" t="s">
        <v>143</v>
      </c>
      <c r="C132" t="s">
        <v>150</v>
      </c>
      <c r="D132" t="s">
        <v>154</v>
      </c>
      <c r="E132">
        <f t="shared" si="2"/>
        <v>131</v>
      </c>
    </row>
    <row r="133" spans="1:5" x14ac:dyDescent="0.2">
      <c r="A133">
        <v>7</v>
      </c>
      <c r="B133" t="s">
        <v>143</v>
      </c>
      <c r="C133" t="s">
        <v>150</v>
      </c>
      <c r="D133" t="s">
        <v>155</v>
      </c>
      <c r="E133">
        <f t="shared" si="2"/>
        <v>132</v>
      </c>
    </row>
    <row r="134" spans="1:5" x14ac:dyDescent="0.2">
      <c r="A134">
        <v>7</v>
      </c>
      <c r="B134" t="s">
        <v>143</v>
      </c>
      <c r="C134" t="s">
        <v>156</v>
      </c>
      <c r="D134" t="s">
        <v>157</v>
      </c>
      <c r="E134">
        <f t="shared" si="2"/>
        <v>133</v>
      </c>
    </row>
    <row r="135" spans="1:5" x14ac:dyDescent="0.2">
      <c r="A135">
        <v>7</v>
      </c>
      <c r="B135" t="s">
        <v>143</v>
      </c>
      <c r="C135" t="s">
        <v>156</v>
      </c>
      <c r="D135" t="s">
        <v>158</v>
      </c>
      <c r="E135">
        <f t="shared" si="2"/>
        <v>134</v>
      </c>
    </row>
    <row r="136" spans="1:5" x14ac:dyDescent="0.2">
      <c r="A136">
        <v>7</v>
      </c>
      <c r="B136" t="s">
        <v>143</v>
      </c>
      <c r="C136" t="s">
        <v>156</v>
      </c>
      <c r="D136" t="s">
        <v>159</v>
      </c>
      <c r="E136">
        <f t="shared" si="2"/>
        <v>135</v>
      </c>
    </row>
    <row r="137" spans="1:5" x14ac:dyDescent="0.2">
      <c r="A137">
        <v>7</v>
      </c>
      <c r="B137" t="s">
        <v>143</v>
      </c>
      <c r="C137" t="s">
        <v>156</v>
      </c>
      <c r="D137" t="s">
        <v>160</v>
      </c>
      <c r="E137">
        <f t="shared" si="2"/>
        <v>136</v>
      </c>
    </row>
    <row r="138" spans="1:5" x14ac:dyDescent="0.2">
      <c r="A138">
        <v>7</v>
      </c>
      <c r="B138" t="s">
        <v>143</v>
      </c>
      <c r="C138" t="s">
        <v>156</v>
      </c>
      <c r="D138" t="s">
        <v>161</v>
      </c>
      <c r="E138">
        <f t="shared" si="2"/>
        <v>137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F2390-2E2B-4C6F-83B8-950885E99D75}">
  <sheetPr codeName="Sheet12"/>
  <dimension ref="A1:N16"/>
  <sheetViews>
    <sheetView showGridLines="0" workbookViewId="0">
      <selection activeCell="I28" sqref="I28"/>
    </sheetView>
  </sheetViews>
  <sheetFormatPr baseColWidth="10" defaultColWidth="8.83203125" defaultRowHeight="15" x14ac:dyDescent="0.2"/>
  <cols>
    <col min="1" max="1" width="17.5" customWidth="1"/>
    <col min="2" max="2" width="14.1640625" customWidth="1"/>
    <col min="3" max="3" width="11.5" customWidth="1"/>
    <col min="4" max="4" width="16.5" customWidth="1"/>
    <col min="5" max="5" width="12.5" customWidth="1"/>
    <col min="6" max="6" width="15.1640625" bestFit="1" customWidth="1"/>
    <col min="7" max="7" width="14.6640625" customWidth="1"/>
    <col min="8" max="8" width="10.83203125" customWidth="1"/>
    <col min="14" max="14" width="67.83203125" customWidth="1"/>
  </cols>
  <sheetData>
    <row r="1" spans="1:14" ht="19" x14ac:dyDescent="0.2">
      <c r="A1" t="s">
        <v>320</v>
      </c>
      <c r="B1" t="s">
        <v>162</v>
      </c>
      <c r="C1" t="s">
        <v>163</v>
      </c>
      <c r="D1" t="s">
        <v>164</v>
      </c>
      <c r="E1" t="s">
        <v>166</v>
      </c>
      <c r="F1" t="s">
        <v>165</v>
      </c>
      <c r="G1" t="s">
        <v>317</v>
      </c>
      <c r="H1" t="s">
        <v>321</v>
      </c>
      <c r="J1" s="130" t="s">
        <v>221</v>
      </c>
      <c r="K1" s="131"/>
      <c r="L1" s="131"/>
      <c r="M1" s="131"/>
      <c r="N1" s="132"/>
    </row>
    <row r="2" spans="1:14" x14ac:dyDescent="0.2">
      <c r="J2" s="133"/>
      <c r="K2" s="134"/>
      <c r="L2" s="134"/>
      <c r="M2" s="134"/>
      <c r="N2" s="135"/>
    </row>
    <row r="3" spans="1:14" ht="16" x14ac:dyDescent="0.2">
      <c r="J3" s="137" t="s">
        <v>222</v>
      </c>
      <c r="K3" s="136"/>
      <c r="L3" s="138"/>
      <c r="M3" s="138"/>
      <c r="N3" s="139"/>
    </row>
    <row r="4" spans="1:14" ht="16" x14ac:dyDescent="0.2">
      <c r="J4" s="141" t="s">
        <v>339</v>
      </c>
      <c r="K4" s="140"/>
      <c r="L4" s="140"/>
      <c r="M4" s="140"/>
      <c r="N4" s="142"/>
    </row>
    <row r="5" spans="1:14" ht="16" x14ac:dyDescent="0.2">
      <c r="J5" s="141" t="s">
        <v>340</v>
      </c>
      <c r="K5" s="140"/>
      <c r="L5" s="140"/>
      <c r="M5" s="140"/>
      <c r="N5" s="142"/>
    </row>
    <row r="6" spans="1:14" ht="16" x14ac:dyDescent="0.2">
      <c r="J6" s="141"/>
      <c r="K6" s="138"/>
      <c r="L6" s="138"/>
      <c r="M6" s="138"/>
      <c r="N6" s="139"/>
    </row>
    <row r="7" spans="1:14" ht="16" x14ac:dyDescent="0.2">
      <c r="J7" s="137" t="s">
        <v>342</v>
      </c>
      <c r="K7" s="136"/>
      <c r="L7" s="138"/>
      <c r="M7" s="138"/>
      <c r="N7" s="139"/>
    </row>
    <row r="8" spans="1:14" ht="16" x14ac:dyDescent="0.2">
      <c r="J8" s="144" t="s">
        <v>343</v>
      </c>
      <c r="K8" s="143"/>
      <c r="L8" s="143"/>
      <c r="M8" s="143"/>
      <c r="N8" s="145"/>
    </row>
    <row r="9" spans="1:14" ht="16" x14ac:dyDescent="0.2">
      <c r="J9" s="144" t="s">
        <v>344</v>
      </c>
      <c r="K9" s="143"/>
      <c r="L9" s="143"/>
      <c r="M9" s="143"/>
      <c r="N9" s="145"/>
    </row>
    <row r="10" spans="1:14" ht="16" x14ac:dyDescent="0.2">
      <c r="J10" s="146"/>
      <c r="K10" s="138"/>
      <c r="L10" s="138"/>
      <c r="M10" s="138"/>
      <c r="N10" s="139"/>
    </row>
    <row r="11" spans="1:14" ht="16" x14ac:dyDescent="0.2">
      <c r="J11" s="137" t="s">
        <v>337</v>
      </c>
      <c r="K11" s="136"/>
      <c r="L11" s="138"/>
      <c r="M11" s="138"/>
      <c r="N11" s="139"/>
    </row>
    <row r="12" spans="1:14" ht="16" x14ac:dyDescent="0.2">
      <c r="J12" s="144" t="s">
        <v>341</v>
      </c>
      <c r="K12" s="143"/>
      <c r="L12" s="143"/>
      <c r="M12" s="143"/>
      <c r="N12" s="145"/>
    </row>
    <row r="13" spans="1:14" ht="16" x14ac:dyDescent="0.2">
      <c r="J13" s="146"/>
      <c r="K13" s="138"/>
      <c r="L13" s="138"/>
      <c r="M13" s="138"/>
      <c r="N13" s="139"/>
    </row>
    <row r="14" spans="1:14" ht="16" x14ac:dyDescent="0.2">
      <c r="J14" s="148" t="s">
        <v>212</v>
      </c>
      <c r="K14" s="147"/>
      <c r="L14" s="138"/>
      <c r="M14" s="138"/>
      <c r="N14" s="139"/>
    </row>
    <row r="15" spans="1:14" ht="16" x14ac:dyDescent="0.2">
      <c r="J15" s="150" t="s">
        <v>345</v>
      </c>
      <c r="K15" s="149"/>
      <c r="L15" s="149"/>
      <c r="M15" s="149"/>
      <c r="N15" s="151"/>
    </row>
    <row r="16" spans="1:14" ht="16" x14ac:dyDescent="0.2">
      <c r="J16" s="152" t="s">
        <v>346</v>
      </c>
      <c r="K16" s="153"/>
      <c r="L16" s="153"/>
      <c r="M16" s="153"/>
      <c r="N16" s="15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659D8-72C4-400B-9196-F0198F038EA6}">
  <sheetPr codeName="Sheet11"/>
  <dimension ref="A1:O2"/>
  <sheetViews>
    <sheetView workbookViewId="0">
      <selection activeCell="I39" sqref="I39"/>
    </sheetView>
  </sheetViews>
  <sheetFormatPr baseColWidth="10" defaultColWidth="8.83203125" defaultRowHeight="15" x14ac:dyDescent="0.2"/>
  <cols>
    <col min="1" max="1" width="10.5" customWidth="1"/>
    <col min="2" max="2" width="9.6640625" bestFit="1" customWidth="1"/>
    <col min="3" max="3" width="14.1640625" customWidth="1"/>
    <col min="4" max="4" width="20.33203125" bestFit="1" customWidth="1"/>
    <col min="5" max="5" width="16.5" customWidth="1"/>
    <col min="6" max="6" width="15.1640625" bestFit="1" customWidth="1"/>
    <col min="7" max="7" width="12.5" customWidth="1"/>
    <col min="8" max="8" width="14.83203125" bestFit="1" customWidth="1"/>
    <col min="9" max="9" width="13.33203125" customWidth="1"/>
    <col min="10" max="10" width="17.33203125" bestFit="1" customWidth="1"/>
    <col min="11" max="11" width="10.6640625" customWidth="1"/>
    <col min="12" max="13" width="14.5" customWidth="1"/>
    <col min="14" max="14" width="12.33203125" customWidth="1"/>
  </cols>
  <sheetData>
    <row r="1" spans="1:15" x14ac:dyDescent="0.2">
      <c r="A1" t="s">
        <v>170</v>
      </c>
      <c r="B1" t="s">
        <v>171</v>
      </c>
      <c r="C1" t="s">
        <v>162</v>
      </c>
      <c r="D1" t="s">
        <v>163</v>
      </c>
      <c r="E1" t="s">
        <v>164</v>
      </c>
      <c r="F1" t="s">
        <v>165</v>
      </c>
      <c r="G1" t="s">
        <v>166</v>
      </c>
      <c r="H1" t="s">
        <v>317</v>
      </c>
      <c r="I1" t="s">
        <v>172</v>
      </c>
      <c r="J1" t="s">
        <v>173</v>
      </c>
      <c r="K1" t="s">
        <v>174</v>
      </c>
      <c r="L1" t="s">
        <v>175</v>
      </c>
      <c r="M1" t="s">
        <v>176</v>
      </c>
      <c r="N1" t="s">
        <v>313</v>
      </c>
      <c r="O1" t="s">
        <v>177</v>
      </c>
    </row>
    <row r="2" spans="1:15" x14ac:dyDescent="0.2">
      <c r="B2" s="25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8E587-E095-490E-81A0-008FC34E97F6}">
  <sheetPr codeName="Sheet8"/>
  <dimension ref="A1:R2"/>
  <sheetViews>
    <sheetView workbookViewId="0">
      <selection activeCell="G26" sqref="G26"/>
    </sheetView>
  </sheetViews>
  <sheetFormatPr baseColWidth="10" defaultColWidth="8.83203125" defaultRowHeight="15" x14ac:dyDescent="0.2"/>
  <cols>
    <col min="1" max="1" width="10.1640625" bestFit="1" customWidth="1"/>
    <col min="2" max="2" width="7.1640625" bestFit="1" customWidth="1"/>
    <col min="3" max="3" width="13.33203125" bestFit="1" customWidth="1"/>
    <col min="4" max="4" width="11" bestFit="1" customWidth="1"/>
    <col min="5" max="5" width="15.1640625" bestFit="1" customWidth="1"/>
    <col min="6" max="6" width="9.5" bestFit="1" customWidth="1"/>
    <col min="7" max="7" width="11.83203125" bestFit="1" customWidth="1"/>
    <col min="8" max="8" width="13.6640625" bestFit="1" customWidth="1"/>
    <col min="9" max="9" width="7.1640625" bestFit="1" customWidth="1"/>
    <col min="10" max="10" width="12.33203125" bestFit="1" customWidth="1"/>
    <col min="11" max="11" width="5.83203125" bestFit="1" customWidth="1"/>
    <col min="12" max="12" width="10.33203125" bestFit="1" customWidth="1"/>
    <col min="13" max="13" width="13.6640625" bestFit="1" customWidth="1"/>
    <col min="14" max="14" width="14.33203125" bestFit="1" customWidth="1"/>
    <col min="15" max="15" width="11.83203125" bestFit="1" customWidth="1"/>
    <col min="16" max="16" width="8.6640625" bestFit="1" customWidth="1"/>
    <col min="17" max="17" width="13.6640625" bestFit="1" customWidth="1"/>
    <col min="18" max="18" width="11" bestFit="1" customWidth="1"/>
  </cols>
  <sheetData>
    <row r="1" spans="1:18" x14ac:dyDescent="0.2">
      <c r="A1" t="s">
        <v>170</v>
      </c>
      <c r="B1" t="s">
        <v>171</v>
      </c>
      <c r="C1" t="s">
        <v>162</v>
      </c>
      <c r="D1" t="s">
        <v>163</v>
      </c>
      <c r="E1" t="s">
        <v>164</v>
      </c>
      <c r="F1" t="s">
        <v>165</v>
      </c>
      <c r="G1" t="s">
        <v>166</v>
      </c>
      <c r="H1" t="s">
        <v>317</v>
      </c>
      <c r="I1" t="s">
        <v>172</v>
      </c>
      <c r="J1" t="s">
        <v>173</v>
      </c>
      <c r="K1" t="s">
        <v>174</v>
      </c>
      <c r="L1" t="s">
        <v>175</v>
      </c>
      <c r="M1" t="s">
        <v>176</v>
      </c>
      <c r="N1" t="s">
        <v>313</v>
      </c>
      <c r="O1" t="s">
        <v>177</v>
      </c>
      <c r="P1" t="s">
        <v>178</v>
      </c>
      <c r="Q1" t="s">
        <v>179</v>
      </c>
      <c r="R1" t="s">
        <v>180</v>
      </c>
    </row>
    <row r="2" spans="1:18" x14ac:dyDescent="0.2">
      <c r="B2" s="25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EE7C-21F1-4FEC-8124-27B867DFAA28}">
  <sheetPr codeName="Sheet1"/>
  <dimension ref="A1:Q2"/>
  <sheetViews>
    <sheetView workbookViewId="0">
      <selection activeCell="G26" sqref="G26"/>
    </sheetView>
  </sheetViews>
  <sheetFormatPr baseColWidth="10" defaultColWidth="8.83203125" defaultRowHeight="15" x14ac:dyDescent="0.2"/>
  <cols>
    <col min="1" max="1" width="10.1640625" bestFit="1" customWidth="1"/>
    <col min="2" max="2" width="7.1640625" bestFit="1" customWidth="1"/>
    <col min="3" max="3" width="13.33203125" bestFit="1" customWidth="1"/>
    <col min="4" max="4" width="11" bestFit="1" customWidth="1"/>
    <col min="5" max="5" width="15.1640625" bestFit="1" customWidth="1"/>
    <col min="6" max="6" width="9.5" bestFit="1" customWidth="1"/>
    <col min="7" max="7" width="11.83203125" bestFit="1" customWidth="1"/>
    <col min="8" max="8" width="13.6640625" bestFit="1" customWidth="1"/>
    <col min="9" max="9" width="7.1640625" bestFit="1" customWidth="1"/>
    <col min="10" max="10" width="12.33203125" bestFit="1" customWidth="1"/>
    <col min="11" max="11" width="5.83203125" bestFit="1" customWidth="1"/>
    <col min="12" max="12" width="10.33203125" bestFit="1" customWidth="1"/>
    <col min="13" max="13" width="13.6640625" bestFit="1" customWidth="1"/>
    <col min="14" max="14" width="14.33203125" bestFit="1" customWidth="1"/>
    <col min="15" max="15" width="11.83203125" bestFit="1" customWidth="1"/>
    <col min="16" max="16" width="11.6640625" bestFit="1" customWidth="1"/>
    <col min="17" max="17" width="16.1640625" bestFit="1" customWidth="1"/>
    <col min="18" max="18" width="18.5" bestFit="1" customWidth="1"/>
    <col min="19" max="19" width="14.1640625" bestFit="1" customWidth="1"/>
    <col min="20" max="20" width="17.83203125" bestFit="1" customWidth="1"/>
    <col min="21" max="21" width="29.1640625" bestFit="1" customWidth="1"/>
    <col min="22" max="22" width="12.33203125" bestFit="1" customWidth="1"/>
    <col min="23" max="23" width="15.1640625" bestFit="1" customWidth="1"/>
    <col min="24" max="24" width="12.5" bestFit="1" customWidth="1"/>
    <col min="25" max="25" width="11.6640625" customWidth="1"/>
    <col min="26" max="26" width="11.6640625" bestFit="1" customWidth="1"/>
    <col min="27" max="27" width="21.6640625" bestFit="1" customWidth="1"/>
    <col min="28" max="28" width="14" bestFit="1" customWidth="1"/>
    <col min="29" max="29" width="11.6640625" bestFit="1" customWidth="1"/>
    <col min="30" max="30" width="13.33203125" bestFit="1" customWidth="1"/>
    <col min="31" max="31" width="12.33203125" customWidth="1"/>
    <col min="32" max="32" width="9" bestFit="1" customWidth="1"/>
    <col min="33" max="33" width="15.1640625" bestFit="1" customWidth="1"/>
  </cols>
  <sheetData>
    <row r="1" spans="1:17" x14ac:dyDescent="0.2">
      <c r="A1" t="s">
        <v>170</v>
      </c>
      <c r="B1" t="s">
        <v>171</v>
      </c>
      <c r="C1" t="s">
        <v>162</v>
      </c>
      <c r="D1" t="s">
        <v>163</v>
      </c>
      <c r="E1" t="s">
        <v>164</v>
      </c>
      <c r="F1" t="s">
        <v>165</v>
      </c>
      <c r="G1" t="s">
        <v>166</v>
      </c>
      <c r="H1" t="s">
        <v>317</v>
      </c>
      <c r="I1" t="s">
        <v>172</v>
      </c>
      <c r="J1" t="s">
        <v>173</v>
      </c>
      <c r="K1" t="s">
        <v>174</v>
      </c>
      <c r="L1" t="s">
        <v>175</v>
      </c>
      <c r="M1" t="s">
        <v>176</v>
      </c>
      <c r="N1" t="s">
        <v>313</v>
      </c>
      <c r="O1" t="s">
        <v>177</v>
      </c>
      <c r="P1" t="s">
        <v>181</v>
      </c>
      <c r="Q1" t="s">
        <v>316</v>
      </c>
    </row>
    <row r="2" spans="1:17" x14ac:dyDescent="0.2">
      <c r="B2" s="25"/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0218C-E612-4B5A-847D-14D80FA5580C}">
  <sheetPr codeName="Sheet7"/>
  <dimension ref="C1:P44"/>
  <sheetViews>
    <sheetView showGridLines="0" tabSelected="1" topLeftCell="C1" zoomScale="130" zoomScaleNormal="130" workbookViewId="0">
      <selection activeCell="E16" sqref="E16"/>
    </sheetView>
  </sheetViews>
  <sheetFormatPr baseColWidth="10" defaultColWidth="8.83203125" defaultRowHeight="15" x14ac:dyDescent="0.2"/>
  <cols>
    <col min="1" max="2" width="0" hidden="1" customWidth="1"/>
    <col min="3" max="3" width="36.1640625" customWidth="1"/>
    <col min="4" max="4" width="52.5" customWidth="1"/>
    <col min="5" max="5" width="28" customWidth="1"/>
    <col min="6" max="6" width="35.1640625" customWidth="1"/>
    <col min="7" max="7" width="10.5" hidden="1" customWidth="1"/>
    <col min="8" max="8" width="23.1640625" hidden="1" customWidth="1"/>
    <col min="9" max="9" width="27.33203125" hidden="1" customWidth="1"/>
    <col min="10" max="10" width="34" hidden="1" customWidth="1"/>
    <col min="11" max="11" width="18.83203125" hidden="1" customWidth="1"/>
    <col min="12" max="12" width="8.83203125" hidden="1" customWidth="1"/>
    <col min="13" max="13" width="11.83203125" hidden="1" customWidth="1"/>
    <col min="14" max="14" width="10.1640625" hidden="1" customWidth="1"/>
  </cols>
  <sheetData>
    <row r="1" spans="3:16" ht="45" customHeight="1" x14ac:dyDescent="0.2">
      <c r="C1" s="165" t="s">
        <v>182</v>
      </c>
      <c r="D1" s="166"/>
    </row>
    <row r="2" spans="3:16" ht="53" customHeight="1" x14ac:dyDescent="0.2">
      <c r="C2" s="167" t="s">
        <v>183</v>
      </c>
      <c r="D2" s="168"/>
      <c r="E2" s="156"/>
    </row>
    <row r="3" spans="3:16" ht="28" customHeight="1" x14ac:dyDescent="0.2">
      <c r="C3" s="169" t="s">
        <v>184</v>
      </c>
      <c r="D3" s="170"/>
      <c r="E3" s="157"/>
      <c r="G3" t="s">
        <v>185</v>
      </c>
      <c r="H3" t="s">
        <v>186</v>
      </c>
      <c r="I3" t="s">
        <v>187</v>
      </c>
      <c r="J3" t="s">
        <v>188</v>
      </c>
      <c r="K3" t="s">
        <v>189</v>
      </c>
      <c r="L3" t="s">
        <v>170</v>
      </c>
      <c r="M3" t="s">
        <v>190</v>
      </c>
      <c r="N3" t="s">
        <v>349</v>
      </c>
    </row>
    <row r="4" spans="3:16" ht="28" customHeight="1" x14ac:dyDescent="0.2">
      <c r="C4" s="35" t="s">
        <v>191</v>
      </c>
      <c r="D4" s="28"/>
      <c r="G4" t="s">
        <v>192</v>
      </c>
      <c r="H4" t="str" cm="1">
        <f t="array" ref="H4:H10">_xlfn.UNIQUE(dim_produits[categorie])</f>
        <v>Terrain &amp; Préparation</v>
      </c>
      <c r="I4" t="str" cm="1">
        <f t="array" ref="I4">IFERROR(_xlfn.UNIQUE(_xlfn._xlws.FILTER(dim_produits[sous_categorie], dim_produits[categorie]=$D$5)),"")</f>
        <v/>
      </c>
      <c r="J4" t="str" cm="1">
        <f t="array" ref="J4">IFERROR(_xlfn._xlws.FILTER(dim_produits[produit], (dim_produits[categorie]=$D$5)*(dim_produits[sous_categorie]=$D$6)),"")</f>
        <v/>
      </c>
      <c r="K4" t="str" cm="1">
        <f t="array" ref="K4:K7">IFERROR(_xlfn.UNIQUE(tbl_fournisseurs[fournisseur]), "")</f>
        <v>Point P</v>
      </c>
      <c r="N4" t="str" cm="1">
        <f t="array" ref="N4">IF(COUNTA(tbl_sous_produits[sous_produit])=0,"",IFERROR(_xlfn._xlws.FILTER(tbl_sous_produits[sous_produit],(tbl_sous_produits[categorie]=$D$5)*(tbl_sous_produits[sous_categorie]=$D$6)*(tbl_sous_produits[produit]=$D$7)),""))</f>
        <v/>
      </c>
    </row>
    <row r="5" spans="3:16" ht="28" customHeight="1" x14ac:dyDescent="0.2">
      <c r="C5" s="35" t="s">
        <v>193</v>
      </c>
      <c r="D5" s="28"/>
      <c r="G5" t="s">
        <v>194</v>
      </c>
      <c r="H5" t="str">
        <v>Viabilisation</v>
      </c>
      <c r="K5" t="str">
        <v>ETUDE NOTARIALE</v>
      </c>
      <c r="L5" s="34"/>
    </row>
    <row r="6" spans="3:16" ht="28" customHeight="1" x14ac:dyDescent="0.2">
      <c r="C6" s="27" t="s">
        <v>195</v>
      </c>
      <c r="D6" s="28"/>
      <c r="G6" t="s">
        <v>196</v>
      </c>
      <c r="H6" t="str">
        <v>Gros œuvre</v>
      </c>
      <c r="K6" t="str">
        <v>DARTY</v>
      </c>
    </row>
    <row r="7" spans="3:16" ht="28" customHeight="1" x14ac:dyDescent="0.2">
      <c r="C7" s="27" t="s">
        <v>197</v>
      </c>
      <c r="D7" s="29"/>
      <c r="H7" t="str">
        <v>Menuiseries</v>
      </c>
      <c r="K7" t="str">
        <v>CDISCOUNT</v>
      </c>
    </row>
    <row r="8" spans="3:16" ht="28" customHeight="1" x14ac:dyDescent="0.2">
      <c r="C8" s="27" t="s">
        <v>330</v>
      </c>
      <c r="D8" s="29"/>
      <c r="E8" s="38"/>
      <c r="H8" t="str">
        <v>Second œuvre</v>
      </c>
    </row>
    <row r="9" spans="3:16" ht="28" customHeight="1" x14ac:dyDescent="0.2">
      <c r="C9" s="27" t="s">
        <v>198</v>
      </c>
      <c r="D9" s="28"/>
      <c r="H9" t="str">
        <v>Finitions</v>
      </c>
    </row>
    <row r="10" spans="3:16" ht="28" customHeight="1" x14ac:dyDescent="0.2">
      <c r="C10" s="27" t="s">
        <v>199</v>
      </c>
      <c r="D10" s="29"/>
      <c r="H10" t="str">
        <v>Extérieurs</v>
      </c>
    </row>
    <row r="11" spans="3:16" ht="28" customHeight="1" x14ac:dyDescent="0.2">
      <c r="C11" s="27" t="s">
        <v>200</v>
      </c>
      <c r="D11" s="37"/>
    </row>
    <row r="12" spans="3:16" ht="28" customHeight="1" x14ac:dyDescent="0.2">
      <c r="C12" s="27" t="s">
        <v>201</v>
      </c>
      <c r="D12" s="36"/>
    </row>
    <row r="13" spans="3:16" ht="28" customHeight="1" x14ac:dyDescent="0.2">
      <c r="C13" s="27" t="s">
        <v>202</v>
      </c>
      <c r="D13" s="29"/>
      <c r="E13" s="124"/>
    </row>
    <row r="14" spans="3:16" ht="32" customHeight="1" x14ac:dyDescent="0.2">
      <c r="C14" s="26" t="s">
        <v>203</v>
      </c>
      <c r="D14" s="30"/>
    </row>
    <row r="15" spans="3:16" ht="29" customHeight="1" x14ac:dyDescent="0.2">
      <c r="D15" s="32" t="s">
        <v>204</v>
      </c>
      <c r="P15" t="s">
        <v>350</v>
      </c>
    </row>
    <row r="16" spans="3:16" ht="46" customHeight="1" thickBot="1" x14ac:dyDescent="0.25">
      <c r="D16" s="33" t="str">
        <f>IF(AND(ISNUMBER(D11),ISNUMBER(D12)),D11*D12,"-")</f>
        <v>-</v>
      </c>
    </row>
    <row r="17" spans="3:4" ht="30" customHeight="1" thickBot="1" x14ac:dyDescent="0.25">
      <c r="D17" s="31"/>
    </row>
    <row r="18" spans="3:4" ht="35" customHeight="1" thickTop="1" x14ac:dyDescent="0.2">
      <c r="C18" s="171"/>
      <c r="D18" s="172"/>
    </row>
    <row r="19" spans="3:4" ht="22" customHeight="1" x14ac:dyDescent="0.2"/>
    <row r="20" spans="3:4" ht="16" x14ac:dyDescent="0.2">
      <c r="C20" s="173" t="s">
        <v>205</v>
      </c>
      <c r="D20" s="174"/>
    </row>
    <row r="21" spans="3:4" x14ac:dyDescent="0.2">
      <c r="C21" s="86"/>
      <c r="D21" s="85"/>
    </row>
    <row r="22" spans="3:4" x14ac:dyDescent="0.2">
      <c r="C22" s="87" t="s">
        <v>206</v>
      </c>
      <c r="D22" s="85"/>
    </row>
    <row r="23" spans="3:4" ht="23" customHeight="1" x14ac:dyDescent="0.2">
      <c r="C23" s="175" t="s">
        <v>207</v>
      </c>
      <c r="D23" s="176"/>
    </row>
    <row r="24" spans="3:4" x14ac:dyDescent="0.2">
      <c r="C24" s="86"/>
      <c r="D24" s="85"/>
    </row>
    <row r="25" spans="3:4" x14ac:dyDescent="0.2">
      <c r="C25" s="87" t="s">
        <v>208</v>
      </c>
      <c r="D25" s="85"/>
    </row>
    <row r="26" spans="3:4" x14ac:dyDescent="0.2">
      <c r="C26" s="175" t="s">
        <v>209</v>
      </c>
      <c r="D26" s="176"/>
    </row>
    <row r="27" spans="3:4" x14ac:dyDescent="0.2">
      <c r="C27" s="128"/>
      <c r="D27" s="129"/>
    </row>
    <row r="28" spans="3:4" x14ac:dyDescent="0.2">
      <c r="C28" s="87" t="s">
        <v>322</v>
      </c>
      <c r="D28" s="85"/>
    </row>
    <row r="29" spans="3:4" ht="31" customHeight="1" x14ac:dyDescent="0.2">
      <c r="C29" s="175" t="s">
        <v>324</v>
      </c>
      <c r="D29" s="176"/>
    </row>
    <row r="30" spans="3:4" x14ac:dyDescent="0.2">
      <c r="C30" s="86"/>
      <c r="D30" s="85"/>
    </row>
    <row r="31" spans="3:4" x14ac:dyDescent="0.2">
      <c r="C31" s="87" t="s">
        <v>326</v>
      </c>
      <c r="D31" s="85"/>
    </row>
    <row r="32" spans="3:4" ht="42" customHeight="1" x14ac:dyDescent="0.2">
      <c r="C32" s="175" t="s">
        <v>323</v>
      </c>
      <c r="D32" s="176"/>
    </row>
    <row r="33" spans="3:4" x14ac:dyDescent="0.2">
      <c r="C33" s="86"/>
      <c r="D33" s="85"/>
    </row>
    <row r="34" spans="3:4" x14ac:dyDescent="0.2">
      <c r="C34" s="87" t="s">
        <v>327</v>
      </c>
      <c r="D34" s="85"/>
    </row>
    <row r="35" spans="3:4" ht="26" customHeight="1" x14ac:dyDescent="0.2">
      <c r="C35" s="175" t="s">
        <v>210</v>
      </c>
      <c r="D35" s="176"/>
    </row>
    <row r="36" spans="3:4" ht="15.75" customHeight="1" x14ac:dyDescent="0.2">
      <c r="C36" s="86"/>
      <c r="D36" s="85"/>
    </row>
    <row r="37" spans="3:4" x14ac:dyDescent="0.2">
      <c r="C37" s="87" t="s">
        <v>328</v>
      </c>
      <c r="D37" s="85"/>
    </row>
    <row r="38" spans="3:4" ht="30" customHeight="1" x14ac:dyDescent="0.2">
      <c r="C38" s="175" t="s">
        <v>325</v>
      </c>
      <c r="D38" s="176"/>
    </row>
    <row r="39" spans="3:4" x14ac:dyDescent="0.2">
      <c r="C39" s="86"/>
      <c r="D39" s="96"/>
    </row>
    <row r="40" spans="3:4" x14ac:dyDescent="0.2">
      <c r="C40" s="87" t="s">
        <v>329</v>
      </c>
      <c r="D40" s="83"/>
    </row>
    <row r="41" spans="3:4" ht="31" customHeight="1" x14ac:dyDescent="0.2">
      <c r="C41" s="175" t="s">
        <v>211</v>
      </c>
      <c r="D41" s="176"/>
    </row>
    <row r="42" spans="3:4" x14ac:dyDescent="0.2">
      <c r="C42" s="102"/>
      <c r="D42" s="104"/>
    </row>
    <row r="43" spans="3:4" x14ac:dyDescent="0.2">
      <c r="C43" s="103" t="s">
        <v>212</v>
      </c>
      <c r="D43" s="104"/>
    </row>
    <row r="44" spans="3:4" ht="35" customHeight="1" x14ac:dyDescent="0.2">
      <c r="C44" s="163" t="s">
        <v>213</v>
      </c>
      <c r="D44" s="164"/>
    </row>
  </sheetData>
  <mergeCells count="13">
    <mergeCell ref="C44:D44"/>
    <mergeCell ref="C1:D1"/>
    <mergeCell ref="C2:D2"/>
    <mergeCell ref="C3:D3"/>
    <mergeCell ref="C18:D18"/>
    <mergeCell ref="C20:D20"/>
    <mergeCell ref="C41:D41"/>
    <mergeCell ref="C32:D32"/>
    <mergeCell ref="C26:D26"/>
    <mergeCell ref="C23:D23"/>
    <mergeCell ref="C35:D35"/>
    <mergeCell ref="C38:D38"/>
    <mergeCell ref="C29:D29"/>
  </mergeCells>
  <dataValidations count="6">
    <dataValidation type="list" allowBlank="1" showInputMessage="1" showErrorMessage="1" sqref="D4" xr:uid="{24F9CA0F-D835-42C5-8BF1-D2A1510A5CEA}">
      <formula1>$G$4:$G$6</formula1>
    </dataValidation>
    <dataValidation type="list" allowBlank="1" showInputMessage="1" showErrorMessage="1" sqref="D6" xr:uid="{4184A358-6780-0141-B079-DF2717295654}">
      <formula1>SousCategorieList</formula1>
    </dataValidation>
    <dataValidation type="list" allowBlank="1" showInputMessage="1" showErrorMessage="1" sqref="D7" xr:uid="{F399D767-DFC8-1A49-9076-9D3DEA5A8114}">
      <formula1>ProduitList</formula1>
    </dataValidation>
    <dataValidation type="list" allowBlank="1" showInputMessage="1" showErrorMessage="1" sqref="D5" xr:uid="{239DCF19-6CC9-4144-93BC-2556A6B811E4}">
      <formula1>$H$4:$H$10</formula1>
    </dataValidation>
    <dataValidation type="list" allowBlank="1" showInputMessage="1" showErrorMessage="1" sqref="D9" xr:uid="{EB136C64-0F1D-C046-AF7C-742BF1954800}">
      <formula1>FournisseursList</formula1>
    </dataValidation>
    <dataValidation type="list" allowBlank="1" showInputMessage="1" showErrorMessage="1" sqref="D8" xr:uid="{BCB2AC07-AC41-9A4A-9DAC-7C95E2450B5D}">
      <formula1>SousProduitsList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ddInputToStaging">
                <anchor moveWithCells="1" sizeWithCells="1">
                  <from>
                    <xdr:col>3</xdr:col>
                    <xdr:colOff>0</xdr:colOff>
                    <xdr:row>16</xdr:row>
                    <xdr:rowOff>12700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OpenUploadPage">
                <anchor moveWithCells="1" sizeWithCells="1">
                  <from>
                    <xdr:col>3</xdr:col>
                    <xdr:colOff>520700</xdr:colOff>
                    <xdr:row>12</xdr:row>
                    <xdr:rowOff>38100</xdr:rowOff>
                  </from>
                  <to>
                    <xdr:col>3</xdr:col>
                    <xdr:colOff>3035300</xdr:colOff>
                    <xdr:row>12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6" name="Button 45">
              <controlPr defaultSize="0" print="0" autoFill="0" autoPict="0" macro="[0]!ResetInputForm">
                <anchor moveWithCells="1" sizeWithCells="1">
                  <from>
                    <xdr:col>2</xdr:col>
                    <xdr:colOff>736600</xdr:colOff>
                    <xdr:row>15</xdr:row>
                    <xdr:rowOff>0</xdr:rowOff>
                  </from>
                  <to>
                    <xdr:col>2</xdr:col>
                    <xdr:colOff>2260600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" name="Button 71">
              <controlPr defaultSize="0" print="0" autoFill="0" autoPict="0" macro="[0]!AddSousProduit">
                <anchor moveWithCells="1" sizeWithCells="1">
                  <from>
                    <xdr:col>4</xdr:col>
                    <xdr:colOff>508000</xdr:colOff>
                    <xdr:row>7</xdr:row>
                    <xdr:rowOff>63500</xdr:rowOff>
                  </from>
                  <to>
                    <xdr:col>4</xdr:col>
                    <xdr:colOff>2120900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8" name="Button 72">
              <controlPr defaultSize="0" print="0" autoFill="0" autoPict="0" macro="[0]!AddSupplier">
                <anchor moveWithCells="1" sizeWithCells="1">
                  <from>
                    <xdr:col>4</xdr:col>
                    <xdr:colOff>508000</xdr:colOff>
                    <xdr:row>8</xdr:row>
                    <xdr:rowOff>88900</xdr:rowOff>
                  </from>
                  <to>
                    <xdr:col>4</xdr:col>
                    <xdr:colOff>2133600</xdr:colOff>
                    <xdr:row>8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23513-226A-491C-A832-3031CB50AAD2}">
  <sheetPr codeName="Sheet3"/>
  <dimension ref="A1:X15"/>
  <sheetViews>
    <sheetView showGridLines="0" zoomScaleNormal="100" workbookViewId="0">
      <selection activeCell="J14" sqref="J14"/>
    </sheetView>
  </sheetViews>
  <sheetFormatPr baseColWidth="10" defaultColWidth="8.83203125" defaultRowHeight="15" x14ac:dyDescent="0.2"/>
  <cols>
    <col min="1" max="1" width="11" bestFit="1" customWidth="1"/>
    <col min="2" max="2" width="15.1640625" bestFit="1" customWidth="1"/>
    <col min="3" max="3" width="9.5" bestFit="1" customWidth="1"/>
    <col min="4" max="4" width="11.83203125" bestFit="1" customWidth="1"/>
    <col min="5" max="5" width="13.6640625" bestFit="1" customWidth="1"/>
    <col min="6" max="6" width="16.1640625" bestFit="1" customWidth="1"/>
    <col min="7" max="7" width="13.5" bestFit="1" customWidth="1"/>
    <col min="8" max="8" width="9.1640625" bestFit="1" customWidth="1"/>
    <col min="9" max="9" width="17" bestFit="1" customWidth="1"/>
    <col min="10" max="10" width="14.5" bestFit="1" customWidth="1"/>
    <col min="11" max="11" width="10.1640625" bestFit="1" customWidth="1"/>
    <col min="12" max="12" width="17.33203125" bestFit="1" customWidth="1"/>
    <col min="13" max="13" width="13.33203125" bestFit="1" customWidth="1"/>
    <col min="14" max="14" width="10.33203125" bestFit="1" customWidth="1"/>
    <col min="15" max="15" width="11.1640625" bestFit="1" customWidth="1"/>
    <col min="16" max="16" width="11.6640625" bestFit="1" customWidth="1"/>
    <col min="17" max="17" width="14.33203125" bestFit="1" customWidth="1"/>
    <col min="18" max="18" width="10.83203125" bestFit="1" customWidth="1"/>
    <col min="19" max="19" width="11.6640625" customWidth="1"/>
    <col min="21" max="21" width="15" customWidth="1"/>
    <col min="22" max="23" width="11.6640625" customWidth="1"/>
    <col min="24" max="24" width="52" customWidth="1"/>
    <col min="25" max="25" width="45.1640625" customWidth="1"/>
  </cols>
  <sheetData>
    <row r="1" spans="1:24" ht="19" x14ac:dyDescent="0.2">
      <c r="A1" t="s">
        <v>163</v>
      </c>
      <c r="B1" t="s">
        <v>164</v>
      </c>
      <c r="C1" t="s">
        <v>165</v>
      </c>
      <c r="D1" t="s">
        <v>166</v>
      </c>
      <c r="E1" t="s">
        <v>317</v>
      </c>
      <c r="F1" t="s">
        <v>316</v>
      </c>
      <c r="G1" t="s">
        <v>214</v>
      </c>
      <c r="H1" t="s">
        <v>318</v>
      </c>
      <c r="I1" t="s">
        <v>215</v>
      </c>
      <c r="J1" t="s">
        <v>216</v>
      </c>
      <c r="K1" t="s">
        <v>319</v>
      </c>
      <c r="L1" t="s">
        <v>217</v>
      </c>
      <c r="M1" t="s">
        <v>218</v>
      </c>
      <c r="N1" t="s">
        <v>219</v>
      </c>
      <c r="O1" t="s">
        <v>220</v>
      </c>
      <c r="T1" s="125" t="s">
        <v>221</v>
      </c>
      <c r="U1" s="126"/>
      <c r="V1" s="126"/>
      <c r="W1" s="126"/>
      <c r="X1" s="127"/>
    </row>
    <row r="2" spans="1:24" x14ac:dyDescent="0.2">
      <c r="T2" s="82"/>
      <c r="U2" s="88"/>
      <c r="V2" s="88"/>
      <c r="W2" s="88"/>
      <c r="X2" s="83"/>
    </row>
    <row r="3" spans="1:24" ht="16" x14ac:dyDescent="0.2">
      <c r="T3" s="108" t="s">
        <v>222</v>
      </c>
      <c r="U3" s="92"/>
      <c r="V3" s="92"/>
      <c r="W3" s="92"/>
      <c r="X3" s="93"/>
    </row>
    <row r="4" spans="1:24" ht="16" x14ac:dyDescent="0.2">
      <c r="T4" s="94" t="s">
        <v>223</v>
      </c>
      <c r="U4" s="92"/>
      <c r="V4" s="92"/>
      <c r="W4" s="92"/>
      <c r="X4" s="93"/>
    </row>
    <row r="5" spans="1:24" ht="16" x14ac:dyDescent="0.2">
      <c r="T5" s="94" t="s">
        <v>224</v>
      </c>
      <c r="U5" s="92"/>
      <c r="V5" s="92"/>
      <c r="W5" s="92"/>
      <c r="X5" s="93"/>
    </row>
    <row r="6" spans="1:24" ht="16" x14ac:dyDescent="0.2">
      <c r="T6" s="94"/>
      <c r="U6" s="92"/>
      <c r="V6" s="92"/>
      <c r="W6" s="92"/>
      <c r="X6" s="93"/>
    </row>
    <row r="7" spans="1:24" ht="15" customHeight="1" x14ac:dyDescent="0.2">
      <c r="T7" s="108" t="s">
        <v>225</v>
      </c>
      <c r="U7" s="92"/>
      <c r="V7" s="92"/>
      <c r="W7" s="92"/>
      <c r="X7" s="93"/>
    </row>
    <row r="8" spans="1:24" ht="16" x14ac:dyDescent="0.2">
      <c r="T8" s="91" t="s">
        <v>226</v>
      </c>
      <c r="U8" s="92"/>
      <c r="V8" s="92"/>
      <c r="W8" s="92"/>
      <c r="X8" s="93"/>
    </row>
    <row r="9" spans="1:24" ht="16" x14ac:dyDescent="0.2">
      <c r="T9" s="95"/>
      <c r="U9" s="92"/>
      <c r="V9" s="92"/>
      <c r="W9" s="92"/>
      <c r="X9" s="93"/>
    </row>
    <row r="10" spans="1:24" ht="16" customHeight="1" x14ac:dyDescent="0.2">
      <c r="T10" s="108" t="s">
        <v>227</v>
      </c>
      <c r="U10" s="92"/>
      <c r="V10" s="92"/>
      <c r="W10" s="92"/>
      <c r="X10" s="93"/>
    </row>
    <row r="11" spans="1:24" ht="16" x14ac:dyDescent="0.2">
      <c r="T11" s="91" t="s">
        <v>228</v>
      </c>
      <c r="U11" s="97"/>
      <c r="V11" s="97"/>
      <c r="W11" s="97"/>
      <c r="X11" s="98"/>
    </row>
    <row r="12" spans="1:24" ht="16" x14ac:dyDescent="0.2">
      <c r="T12" s="95"/>
      <c r="U12" s="92"/>
      <c r="V12" s="92"/>
      <c r="W12" s="92"/>
      <c r="X12" s="93"/>
    </row>
    <row r="13" spans="1:24" ht="20" customHeight="1" x14ac:dyDescent="0.2">
      <c r="T13" s="109" t="s">
        <v>212</v>
      </c>
      <c r="U13" s="92"/>
      <c r="V13" s="92"/>
      <c r="W13" s="92"/>
      <c r="X13" s="93"/>
    </row>
    <row r="14" spans="1:24" ht="20" customHeight="1" x14ac:dyDescent="0.2">
      <c r="T14" s="99" t="s">
        <v>229</v>
      </c>
      <c r="U14" s="100"/>
      <c r="V14" s="100"/>
      <c r="W14" s="100"/>
      <c r="X14" s="101"/>
    </row>
    <row r="15" spans="1:24" ht="16" x14ac:dyDescent="0.2">
      <c r="T15" s="105" t="s">
        <v>230</v>
      </c>
      <c r="U15" s="106"/>
      <c r="V15" s="106"/>
      <c r="W15" s="106"/>
      <c r="X15" s="107"/>
    </row>
  </sheetData>
  <phoneticPr fontId="15" type="noConversion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9C347-A05A-9D4D-8999-2CC95148A168}">
  <sheetPr codeName="Sheet10"/>
  <dimension ref="A1:A2"/>
  <sheetViews>
    <sheetView workbookViewId="0">
      <selection activeCell="A2" sqref="A2"/>
    </sheetView>
  </sheetViews>
  <sheetFormatPr baseColWidth="10" defaultColWidth="11.5" defaultRowHeight="15" x14ac:dyDescent="0.2"/>
  <sheetData>
    <row r="1" spans="1:1" x14ac:dyDescent="0.2">
      <c r="A1" t="s">
        <v>231</v>
      </c>
    </row>
    <row r="2" spans="1:1" x14ac:dyDescent="0.2">
      <c r="A2" t="s">
        <v>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T65"/>
  <sheetViews>
    <sheetView showGridLines="0" zoomScale="120" zoomScaleNormal="120" workbookViewId="0">
      <selection activeCell="J48" sqref="J48"/>
    </sheetView>
  </sheetViews>
  <sheetFormatPr baseColWidth="10" defaultColWidth="8.83203125" defaultRowHeight="15" x14ac:dyDescent="0.2"/>
  <cols>
    <col min="1" max="1" width="20.33203125" bestFit="1" customWidth="1"/>
    <col min="2" max="2" width="28.33203125" bestFit="1" customWidth="1"/>
    <col min="3" max="3" width="14.33203125" bestFit="1" customWidth="1"/>
    <col min="4" max="6" width="15.83203125" customWidth="1"/>
    <col min="7" max="7" width="14.1640625" customWidth="1"/>
    <col min="8" max="8" width="12.5" customWidth="1"/>
    <col min="9" max="9" width="10" customWidth="1"/>
    <col min="10" max="10" width="6" customWidth="1"/>
    <col min="11" max="11" width="19.33203125" bestFit="1" customWidth="1"/>
    <col min="12" max="12" width="11.6640625" customWidth="1"/>
    <col min="13" max="13" width="12.1640625" customWidth="1"/>
    <col min="14" max="14" width="12.5" customWidth="1"/>
    <col min="15" max="15" width="8.83203125" customWidth="1"/>
    <col min="16" max="16" width="8.5" bestFit="1" customWidth="1"/>
    <col min="46" max="46" width="0" hidden="1" customWidth="1"/>
  </cols>
  <sheetData>
    <row r="1" spans="1:46" ht="35" customHeight="1" x14ac:dyDescent="0.2">
      <c r="A1" s="178" t="s">
        <v>233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46" ht="7" customHeight="1" x14ac:dyDescent="0.2">
      <c r="AT2" t="s">
        <v>234</v>
      </c>
    </row>
    <row r="3" spans="1:46" x14ac:dyDescent="0.2">
      <c r="D3" s="19" t="s">
        <v>235</v>
      </c>
      <c r="E3" s="20">
        <v>220</v>
      </c>
      <c r="G3" s="19" t="s">
        <v>236</v>
      </c>
      <c r="H3" s="21" t="s">
        <v>237</v>
      </c>
      <c r="AT3" t="s">
        <v>238</v>
      </c>
    </row>
    <row r="4" spans="1:46" ht="7" customHeight="1" x14ac:dyDescent="0.2">
      <c r="AT4" t="s">
        <v>237</v>
      </c>
    </row>
    <row r="5" spans="1:46" ht="25" customHeight="1" x14ac:dyDescent="0.2">
      <c r="A5" s="22" t="s">
        <v>239</v>
      </c>
      <c r="B5" s="23" t="s">
        <v>240</v>
      </c>
      <c r="C5" s="23" t="s">
        <v>241</v>
      </c>
      <c r="D5" s="23" t="s">
        <v>242</v>
      </c>
      <c r="E5" s="23" t="s">
        <v>243</v>
      </c>
      <c r="F5" s="23" t="s">
        <v>244</v>
      </c>
      <c r="G5" s="23" t="s">
        <v>245</v>
      </c>
      <c r="H5" s="23" t="s">
        <v>246</v>
      </c>
      <c r="I5" s="24" t="s">
        <v>247</v>
      </c>
      <c r="K5" s="177" t="s">
        <v>248</v>
      </c>
      <c r="L5" s="177"/>
      <c r="M5" s="177"/>
      <c r="N5" s="177"/>
      <c r="O5" s="177"/>
      <c r="P5" s="177"/>
      <c r="Q5" s="177"/>
    </row>
    <row r="6" spans="1:46" x14ac:dyDescent="0.2">
      <c r="A6" s="52" t="s">
        <v>0</v>
      </c>
      <c r="B6" s="53" t="s">
        <v>1</v>
      </c>
      <c r="C6" s="54" t="s">
        <v>249</v>
      </c>
      <c r="D6" s="55">
        <f>IF(OR(C6="🏠 Artisan", C6="🧑‍🤝‍🧑 Mix"),IF($H$3="basse",SUMIFS(fact_couts[estimation_basse],fact_couts[categorie],A6,fact_couts[sous_categorie],B6),IF($H$3="haute",SUMIFS(fact_couts[estimation_haute],fact_couts[categorie],A6,fact_couts[sous_categorie],B6),IF($H$3="Moyenne",SUMIFS(fact_couts[cout_moyen],fact_couts[categorie],A6,fact_couts[sous_categorie],B6),E6))),0)</f>
        <v>0</v>
      </c>
      <c r="E6" s="55">
        <f>IF(OR(C6="🔧 DIY", C6="🧑‍🤝‍🧑 Mix"),SUMIFS(fact_couts[cout_diy], fact_couts[categorie],A6,fact_couts[sous_categorie],B6),0)</f>
        <v>0</v>
      </c>
      <c r="F6" s="55">
        <f>IF(C6="🔧 Artisan",D6,IF(C6="🏠 DIY",E6,D6+E6))</f>
        <v>0</v>
      </c>
      <c r="G6" s="55" t="str">
        <f>IF(SUMIFS(fact_couts[cout_reel],fact_couts[categorie],A6,fact_couts[sous_categorie],B6) = 0, "", SUMIFS(fact_couts[cout_reel],fact_couts[categorie],A6,fact_couts[sous_categorie],B6) )</f>
        <v/>
      </c>
      <c r="H6" s="56" t="str">
        <f>IF(F6 = 0, "", IF(G6 = "", "", G6-F6))</f>
        <v/>
      </c>
      <c r="I6" s="57" t="str">
        <f>IF(H6="","",H6/F6)</f>
        <v/>
      </c>
      <c r="K6" s="9" t="s">
        <v>239</v>
      </c>
      <c r="L6" s="10" t="s">
        <v>249</v>
      </c>
      <c r="M6" s="10" t="s">
        <v>250</v>
      </c>
      <c r="N6" s="10" t="s">
        <v>251</v>
      </c>
      <c r="O6" s="10" t="s">
        <v>252</v>
      </c>
      <c r="P6" s="10" t="s">
        <v>253</v>
      </c>
      <c r="Q6" s="10" t="s">
        <v>246</v>
      </c>
    </row>
    <row r="7" spans="1:46" x14ac:dyDescent="0.2">
      <c r="A7" s="58" t="s">
        <v>0</v>
      </c>
      <c r="B7" s="59" t="s">
        <v>8</v>
      </c>
      <c r="C7" s="60" t="s">
        <v>249</v>
      </c>
      <c r="D7" s="61">
        <f>IF(OR(C7="🏠 Artisan", C7="🧑‍🤝‍🧑 Mix"),IF($H$3="basse",SUMIFS(fact_couts[estimation_basse],fact_couts[categorie],A7,fact_couts[sous_categorie],B7),IF($H$3="haute",SUMIFS(fact_couts[estimation_haute],fact_couts[categorie],A7,fact_couts[sous_categorie],B7),IF($H$3="Moyenne",SUMIFS(fact_couts[cout_moyen],fact_couts[categorie],A7,fact_couts[sous_categorie],B7),E7))),0)</f>
        <v>0</v>
      </c>
      <c r="E7" s="61">
        <f>IF(OR(C7="🔧 DIY", C7="🧑‍🤝‍🧑 Mix"),SUMIFS(fact_couts[cout_diy], fact_couts[categorie],A7,fact_couts[sous_categorie],B7),0)</f>
        <v>0</v>
      </c>
      <c r="F7" s="61">
        <f t="shared" ref="F7:F34" si="0">IF(C7="🔧 Artisan",D7,IF(C7="🏠 DIY",E7,D7+E7))</f>
        <v>0</v>
      </c>
      <c r="G7" s="61" t="str">
        <f>IF(SUMIFS(fact_couts[cout_reel],fact_couts[categorie],A7,fact_couts[sous_categorie],B7) = 0, "", SUMIFS(fact_couts[cout_reel],fact_couts[categorie],A7,fact_couts[sous_categorie],B7) )</f>
        <v/>
      </c>
      <c r="H7" s="62" t="str">
        <f t="shared" ref="H7:H34" si="1">IF(F7 = 0, "", IF(G7 = "", "", G7-F7))</f>
        <v/>
      </c>
      <c r="I7" s="63" t="str">
        <f t="shared" ref="I7:I34" si="2">IF(H7="","",H7/F7)</f>
        <v/>
      </c>
      <c r="K7" s="40" t="s">
        <v>0</v>
      </c>
      <c r="L7" s="41">
        <f t="shared" ref="L7:L13" si="3">SUMIFS($D$6:$D$34,$A$6:$A$34,K7)</f>
        <v>0</v>
      </c>
      <c r="M7" s="41">
        <f t="shared" ref="M7:M13" si="4">SUMIFS($E$6:$E$34,$A$6:$A$34,K7)</f>
        <v>0</v>
      </c>
      <c r="N7" s="41">
        <f t="shared" ref="N7:N13" si="5">L7+M7</f>
        <v>0</v>
      </c>
      <c r="O7" s="42">
        <f>IFERROR(N7/$N$14,0)</f>
        <v>0</v>
      </c>
      <c r="P7" s="41" t="str">
        <f>IF(SUMIFS($G$6:$G$34,$A$6:$A$34,K7) = 0, "", SUMIFS($G$6:$G$34,$A$6:$A$34,K7))</f>
        <v/>
      </c>
      <c r="Q7" s="43" t="str">
        <f>IF(P7 = "", "", P7-N7)</f>
        <v/>
      </c>
    </row>
    <row r="8" spans="1:46" x14ac:dyDescent="0.2">
      <c r="A8" s="64" t="s">
        <v>0</v>
      </c>
      <c r="B8" s="65" t="s">
        <v>14</v>
      </c>
      <c r="C8" s="60" t="s">
        <v>249</v>
      </c>
      <c r="D8" s="66">
        <f>IF(OR(C8="🏠 Artisan", C8="🧑‍🤝‍🧑 Mix"),IF($H$3="basse",SUMIFS(fact_couts[estimation_basse],fact_couts[categorie],A8,fact_couts[sous_categorie],B8),IF($H$3="haute",SUMIFS(fact_couts[estimation_haute],fact_couts[categorie],A8,fact_couts[sous_categorie],B8),IF($H$3="Moyenne",SUMIFS(fact_couts[cout_moyen],fact_couts[categorie],A8,fact_couts[sous_categorie],B8),E8))),0)</f>
        <v>0</v>
      </c>
      <c r="E8" s="66">
        <f>IF(OR(C8="🔧 DIY", C8="🧑‍🤝‍🧑 Mix"),SUMIFS(fact_couts[cout_diy], fact_couts[categorie],A8,fact_couts[sous_categorie],B8),0)</f>
        <v>0</v>
      </c>
      <c r="F8" s="66">
        <f t="shared" si="0"/>
        <v>0</v>
      </c>
      <c r="G8" s="66" t="str">
        <f>IF(SUMIFS(fact_couts[cout_reel],fact_couts[categorie],A8,fact_couts[sous_categorie],B8) = 0, "", SUMIFS(fact_couts[cout_reel],fact_couts[categorie],A8,fact_couts[sous_categorie],B8) )</f>
        <v/>
      </c>
      <c r="H8" s="67" t="str">
        <f t="shared" si="1"/>
        <v/>
      </c>
      <c r="I8" s="68" t="str">
        <f t="shared" si="2"/>
        <v/>
      </c>
      <c r="K8" s="44" t="s">
        <v>20</v>
      </c>
      <c r="L8" s="45">
        <f t="shared" si="3"/>
        <v>0</v>
      </c>
      <c r="M8" s="45">
        <f t="shared" si="4"/>
        <v>0</v>
      </c>
      <c r="N8" s="45">
        <f t="shared" si="5"/>
        <v>0</v>
      </c>
      <c r="O8" s="46">
        <f t="shared" ref="O8:O13" si="6">IFERROR(N8/$N$14,0)</f>
        <v>0</v>
      </c>
      <c r="P8" s="45" t="str">
        <f t="shared" ref="P8:P13" si="7">IF(SUMIFS($G$6:$G$34,$A$6:$A$34,K8) = 0, "", SUMIFS($G$6:$G$34,$A$6:$A$34,K8))</f>
        <v/>
      </c>
      <c r="Q8" s="47" t="str">
        <f t="shared" ref="Q8:Q13" si="8">IF(P8 = "", "", P8-N8)</f>
        <v/>
      </c>
    </row>
    <row r="9" spans="1:46" x14ac:dyDescent="0.2">
      <c r="A9" s="58" t="s">
        <v>20</v>
      </c>
      <c r="B9" s="59" t="s">
        <v>21</v>
      </c>
      <c r="C9" s="60" t="s">
        <v>249</v>
      </c>
      <c r="D9" s="61">
        <f>IF(OR(C9="🏠 Artisan", C9="🧑‍🤝‍🧑 Mix"),IF($H$3="basse",SUMIFS(fact_couts[estimation_basse],fact_couts[categorie],A9,fact_couts[sous_categorie],B9),IF($H$3="haute",SUMIFS(fact_couts[estimation_haute],fact_couts[categorie],A9,fact_couts[sous_categorie],B9),IF($H$3="Moyenne",SUMIFS(fact_couts[cout_moyen],fact_couts[categorie],A9,fact_couts[sous_categorie],B9),E9))),0)</f>
        <v>0</v>
      </c>
      <c r="E9" s="61">
        <f>IF(OR(C9="🔧 DIY", C9="🧑‍🤝‍🧑 Mix"),SUMIFS(fact_couts[cout_diy], fact_couts[categorie],A9,fact_couts[sous_categorie],B9),0)</f>
        <v>0</v>
      </c>
      <c r="F9" s="61">
        <f t="shared" si="0"/>
        <v>0</v>
      </c>
      <c r="G9" s="61" t="str">
        <f>IF(SUMIFS(fact_couts[cout_reel],fact_couts[categorie],A9,fact_couts[sous_categorie],B9) = 0, "", SUMIFS(fact_couts[cout_reel],fact_couts[categorie],A9,fact_couts[sous_categorie],B9) )</f>
        <v/>
      </c>
      <c r="H9" s="62" t="str">
        <f t="shared" si="1"/>
        <v/>
      </c>
      <c r="I9" s="63" t="str">
        <f t="shared" si="2"/>
        <v/>
      </c>
      <c r="K9" s="44" t="s">
        <v>44</v>
      </c>
      <c r="L9" s="45">
        <f t="shared" si="3"/>
        <v>0</v>
      </c>
      <c r="M9" s="45">
        <f t="shared" si="4"/>
        <v>0</v>
      </c>
      <c r="N9" s="45">
        <f t="shared" si="5"/>
        <v>0</v>
      </c>
      <c r="O9" s="46">
        <f t="shared" si="6"/>
        <v>0</v>
      </c>
      <c r="P9" s="45" t="str">
        <f t="shared" si="7"/>
        <v/>
      </c>
      <c r="Q9" s="47" t="str">
        <f t="shared" si="8"/>
        <v/>
      </c>
    </row>
    <row r="10" spans="1:46" x14ac:dyDescent="0.2">
      <c r="A10" s="64" t="s">
        <v>20</v>
      </c>
      <c r="B10" s="65" t="s">
        <v>27</v>
      </c>
      <c r="C10" s="60" t="s">
        <v>249</v>
      </c>
      <c r="D10" s="66">
        <f>IF(OR(C10="🏠 Artisan", C10="🧑‍🤝‍🧑 Mix"),IF($H$3="basse",SUMIFS(fact_couts[estimation_basse],fact_couts[categorie],A10,fact_couts[sous_categorie],B10),IF($H$3="haute",SUMIFS(fact_couts[estimation_haute],fact_couts[categorie],A10,fact_couts[sous_categorie],B10),IF($H$3="Moyenne",SUMIFS(fact_couts[cout_moyen],fact_couts[categorie],A10,fact_couts[sous_categorie],B10),E10))),0)</f>
        <v>0</v>
      </c>
      <c r="E10" s="66">
        <f>IF(OR(C10="🔧 DIY", C10="🧑‍🤝‍🧑 Mix"),SUMIFS(fact_couts[cout_diy], fact_couts[categorie],A10,fact_couts[sous_categorie],B10),0)</f>
        <v>0</v>
      </c>
      <c r="F10" s="66">
        <f t="shared" si="0"/>
        <v>0</v>
      </c>
      <c r="G10" s="66" t="str">
        <f>IF(SUMIFS(fact_couts[cout_reel],fact_couts[categorie],A10,fact_couts[sous_categorie],B10) = 0, "", SUMIFS(fact_couts[cout_reel],fact_couts[categorie],A10,fact_couts[sous_categorie],B10) )</f>
        <v/>
      </c>
      <c r="H10" s="67" t="str">
        <f t="shared" si="1"/>
        <v/>
      </c>
      <c r="I10" s="68" t="str">
        <f t="shared" si="2"/>
        <v/>
      </c>
      <c r="K10" s="44" t="s">
        <v>77</v>
      </c>
      <c r="L10" s="45">
        <f t="shared" si="3"/>
        <v>0</v>
      </c>
      <c r="M10" s="45">
        <f t="shared" si="4"/>
        <v>0</v>
      </c>
      <c r="N10" s="45">
        <f t="shared" si="5"/>
        <v>0</v>
      </c>
      <c r="O10" s="46">
        <f t="shared" si="6"/>
        <v>0</v>
      </c>
      <c r="P10" s="45" t="str">
        <f t="shared" si="7"/>
        <v/>
      </c>
      <c r="Q10" s="47" t="str">
        <f t="shared" si="8"/>
        <v/>
      </c>
    </row>
    <row r="11" spans="1:46" x14ac:dyDescent="0.2">
      <c r="A11" s="58" t="s">
        <v>20</v>
      </c>
      <c r="B11" s="59" t="s">
        <v>32</v>
      </c>
      <c r="C11" s="60" t="s">
        <v>249</v>
      </c>
      <c r="D11" s="61">
        <f>IF(OR(C11="🏠 Artisan", C11="🧑‍🤝‍🧑 Mix"),IF($H$3="basse",SUMIFS(fact_couts[estimation_basse],fact_couts[categorie],A11,fact_couts[sous_categorie],B11),IF($H$3="haute",SUMIFS(fact_couts[estimation_haute],fact_couts[categorie],A11,fact_couts[sous_categorie],B11),IF($H$3="Moyenne",SUMIFS(fact_couts[cout_moyen],fact_couts[categorie],A11,fact_couts[sous_categorie],B11),E11))),0)</f>
        <v>0</v>
      </c>
      <c r="E11" s="61">
        <f>IF(OR(C11="🔧 DIY", C11="🧑‍🤝‍🧑 Mix"),SUMIFS(fact_couts[cout_diy], fact_couts[categorie],A11,fact_couts[sous_categorie],B11),0)</f>
        <v>0</v>
      </c>
      <c r="F11" s="61">
        <f t="shared" si="0"/>
        <v>0</v>
      </c>
      <c r="G11" s="61" t="str">
        <f>IF(SUMIFS(fact_couts[cout_reel],fact_couts[categorie],A11,fact_couts[sous_categorie],B11) = 0, "", SUMIFS(fact_couts[cout_reel],fact_couts[categorie],A11,fact_couts[sous_categorie],B11) )</f>
        <v/>
      </c>
      <c r="H11" s="62" t="str">
        <f t="shared" si="1"/>
        <v/>
      </c>
      <c r="I11" s="63" t="str">
        <f t="shared" si="2"/>
        <v/>
      </c>
      <c r="K11" s="44" t="s">
        <v>90</v>
      </c>
      <c r="L11" s="45">
        <f t="shared" si="3"/>
        <v>0</v>
      </c>
      <c r="M11" s="45">
        <f t="shared" si="4"/>
        <v>0</v>
      </c>
      <c r="N11" s="45">
        <f t="shared" si="5"/>
        <v>0</v>
      </c>
      <c r="O11" s="46">
        <f t="shared" si="6"/>
        <v>0</v>
      </c>
      <c r="P11" s="45" t="str">
        <f t="shared" si="7"/>
        <v/>
      </c>
      <c r="Q11" s="47" t="str">
        <f t="shared" si="8"/>
        <v/>
      </c>
    </row>
    <row r="12" spans="1:46" x14ac:dyDescent="0.2">
      <c r="A12" s="64" t="s">
        <v>20</v>
      </c>
      <c r="B12" s="65" t="s">
        <v>38</v>
      </c>
      <c r="C12" s="60" t="s">
        <v>249</v>
      </c>
      <c r="D12" s="66">
        <f>IF(OR(C12="🏠 Artisan", C12="🧑‍🤝‍🧑 Mix"),IF($H$3="basse",SUMIFS(fact_couts[estimation_basse],fact_couts[categorie],A12,fact_couts[sous_categorie],B12),IF($H$3="haute",SUMIFS(fact_couts[estimation_haute],fact_couts[categorie],A12,fact_couts[sous_categorie],B12),IF($H$3="Moyenne",SUMIFS(fact_couts[cout_moyen],fact_couts[categorie],A12,fact_couts[sous_categorie],B12),E12))),0)</f>
        <v>0</v>
      </c>
      <c r="E12" s="66">
        <f>IF(OR(C12="🔧 DIY", C12="🧑‍🤝‍🧑 Mix"),SUMIFS(fact_couts[cout_diy], fact_couts[categorie],A12,fact_couts[sous_categorie],B12),0)</f>
        <v>0</v>
      </c>
      <c r="F12" s="66">
        <f t="shared" si="0"/>
        <v>0</v>
      </c>
      <c r="G12" s="66" t="str">
        <f>IF(SUMIFS(fact_couts[cout_reel],fact_couts[categorie],A12,fact_couts[sous_categorie],B12) = 0, "", SUMIFS(fact_couts[cout_reel],fact_couts[categorie],A12,fact_couts[sous_categorie],B12) )</f>
        <v/>
      </c>
      <c r="H12" s="67" t="str">
        <f t="shared" si="1"/>
        <v/>
      </c>
      <c r="I12" s="68" t="str">
        <f t="shared" si="2"/>
        <v/>
      </c>
      <c r="K12" s="44" t="s">
        <v>120</v>
      </c>
      <c r="L12" s="45">
        <f t="shared" si="3"/>
        <v>0</v>
      </c>
      <c r="M12" s="45">
        <f t="shared" si="4"/>
        <v>0</v>
      </c>
      <c r="N12" s="45">
        <f t="shared" si="5"/>
        <v>0</v>
      </c>
      <c r="O12" s="46">
        <f t="shared" si="6"/>
        <v>0</v>
      </c>
      <c r="P12" s="45" t="str">
        <f t="shared" si="7"/>
        <v/>
      </c>
      <c r="Q12" s="47" t="str">
        <f t="shared" si="8"/>
        <v/>
      </c>
    </row>
    <row r="13" spans="1:46" x14ac:dyDescent="0.2">
      <c r="A13" s="58" t="s">
        <v>44</v>
      </c>
      <c r="B13" s="59" t="s">
        <v>45</v>
      </c>
      <c r="C13" s="60" t="s">
        <v>249</v>
      </c>
      <c r="D13" s="61">
        <f>IF(OR(C13="🏠 Artisan", C13="🧑‍🤝‍🧑 Mix"),IF($H$3="basse",SUMIFS(fact_couts[estimation_basse],fact_couts[categorie],A13,fact_couts[sous_categorie],B13),IF($H$3="haute",SUMIFS(fact_couts[estimation_haute],fact_couts[categorie],A13,fact_couts[sous_categorie],B13),IF($H$3="Moyenne",SUMIFS(fact_couts[cout_moyen],fact_couts[categorie],A13,fact_couts[sous_categorie],B13),E13))),0)</f>
        <v>0</v>
      </c>
      <c r="E13" s="61">
        <f>IF(OR(C13="🔧 DIY", C13="🧑‍🤝‍🧑 Mix"),SUMIFS(fact_couts[cout_diy], fact_couts[categorie],A13,fact_couts[sous_categorie],B13),0)</f>
        <v>0</v>
      </c>
      <c r="F13" s="61">
        <f t="shared" si="0"/>
        <v>0</v>
      </c>
      <c r="G13" s="61" t="str">
        <f>IF(SUMIFS(fact_couts[cout_reel],fact_couts[categorie],A13,fact_couts[sous_categorie],B13) = 0, "", SUMIFS(fact_couts[cout_reel],fact_couts[categorie],A13,fact_couts[sous_categorie],B13) )</f>
        <v/>
      </c>
      <c r="H13" s="62" t="str">
        <f t="shared" si="1"/>
        <v/>
      </c>
      <c r="I13" s="63" t="str">
        <f t="shared" si="2"/>
        <v/>
      </c>
      <c r="K13" s="48" t="s">
        <v>143</v>
      </c>
      <c r="L13" s="49">
        <f t="shared" si="3"/>
        <v>0</v>
      </c>
      <c r="M13" s="49">
        <f t="shared" si="4"/>
        <v>0</v>
      </c>
      <c r="N13" s="49">
        <f t="shared" si="5"/>
        <v>0</v>
      </c>
      <c r="O13" s="50">
        <f t="shared" si="6"/>
        <v>0</v>
      </c>
      <c r="P13" s="49" t="str">
        <f t="shared" si="7"/>
        <v/>
      </c>
      <c r="Q13" s="51" t="str">
        <f t="shared" si="8"/>
        <v/>
      </c>
    </row>
    <row r="14" spans="1:46" x14ac:dyDescent="0.2">
      <c r="A14" s="64" t="s">
        <v>44</v>
      </c>
      <c r="B14" s="65" t="s">
        <v>51</v>
      </c>
      <c r="C14" s="60" t="s">
        <v>249</v>
      </c>
      <c r="D14" s="66">
        <f>IF(OR(C14="🏠 Artisan", C14="🧑‍🤝‍🧑 Mix"),IF($H$3="basse",SUMIFS(fact_couts[estimation_basse],fact_couts[categorie],A14,fact_couts[sous_categorie],B14),IF($H$3="haute",SUMIFS(fact_couts[estimation_haute],fact_couts[categorie],A14,fact_couts[sous_categorie],B14),IF($H$3="Moyenne",SUMIFS(fact_couts[cout_moyen],fact_couts[categorie],A14,fact_couts[sous_categorie],B14),E14))),0)</f>
        <v>0</v>
      </c>
      <c r="E14" s="66">
        <f>IF(OR(C14="🔧 DIY", C14="🧑‍🤝‍🧑 Mix"),SUMIFS(fact_couts[cout_diy], fact_couts[categorie],A14,fact_couts[sous_categorie],B14),0)</f>
        <v>0</v>
      </c>
      <c r="F14" s="66">
        <f t="shared" si="0"/>
        <v>0</v>
      </c>
      <c r="G14" s="66" t="str">
        <f>IF(SUMIFS(fact_couts[cout_reel],fact_couts[categorie],A14,fact_couts[sous_categorie],B14) = 0, "", SUMIFS(fact_couts[cout_reel],fact_couts[categorie],A14,fact_couts[sous_categorie],B14) )</f>
        <v/>
      </c>
      <c r="H14" s="67" t="str">
        <f t="shared" si="1"/>
        <v/>
      </c>
      <c r="I14" s="68" t="str">
        <f t="shared" si="2"/>
        <v/>
      </c>
      <c r="K14" s="2" t="s">
        <v>254</v>
      </c>
      <c r="L14" s="11">
        <f>SUM(L7:L13)</f>
        <v>0</v>
      </c>
      <c r="M14" s="11">
        <f>SUM(M7:M13)</f>
        <v>0</v>
      </c>
      <c r="N14" s="11">
        <f>SUM(N7:N13)</f>
        <v>0</v>
      </c>
      <c r="O14" s="12">
        <f>SUM(O7:O13)</f>
        <v>0</v>
      </c>
      <c r="P14" s="11" t="str">
        <f>IF(SUM(P7:P13)=0,"",SUM(P7:P13))</f>
        <v/>
      </c>
      <c r="Q14" s="18" t="str">
        <f>IF(P14="","",SUM(Q7:Q13))</f>
        <v/>
      </c>
    </row>
    <row r="15" spans="1:46" x14ac:dyDescent="0.2">
      <c r="A15" s="58" t="s">
        <v>44</v>
      </c>
      <c r="B15" s="59" t="s">
        <v>57</v>
      </c>
      <c r="C15" s="60" t="s">
        <v>249</v>
      </c>
      <c r="D15" s="61">
        <f>IF(OR(C15="🏠 Artisan", C15="🧑‍🤝‍🧑 Mix"),IF($H$3="basse",SUMIFS(fact_couts[estimation_basse],fact_couts[categorie],A15,fact_couts[sous_categorie],B15),IF($H$3="haute",SUMIFS(fact_couts[estimation_haute],fact_couts[categorie],A15,fact_couts[sous_categorie],B15),IF($H$3="Moyenne",SUMIFS(fact_couts[cout_moyen],fact_couts[categorie],A15,fact_couts[sous_categorie],B15),E15))),0)</f>
        <v>0</v>
      </c>
      <c r="E15" s="61">
        <f>IF(OR(C15="🔧 DIY", C15="🧑‍🤝‍🧑 Mix"),SUMIFS(fact_couts[cout_diy], fact_couts[categorie],A15,fact_couts[sous_categorie],B15),0)</f>
        <v>0</v>
      </c>
      <c r="F15" s="61">
        <f t="shared" si="0"/>
        <v>0</v>
      </c>
      <c r="G15" s="61" t="str">
        <f>IF(SUMIFS(fact_couts[cout_reel],fact_couts[categorie],A15,fact_couts[sous_categorie],B15) = 0, "", SUMIFS(fact_couts[cout_reel],fact_couts[categorie],A15,fact_couts[sous_categorie],B15) )</f>
        <v/>
      </c>
      <c r="H15" s="62" t="str">
        <f t="shared" si="1"/>
        <v/>
      </c>
      <c r="I15" s="63" t="str">
        <f t="shared" si="2"/>
        <v/>
      </c>
    </row>
    <row r="16" spans="1:46" x14ac:dyDescent="0.2">
      <c r="A16" s="64" t="s">
        <v>44</v>
      </c>
      <c r="B16" s="65" t="s">
        <v>63</v>
      </c>
      <c r="C16" s="60" t="s">
        <v>249</v>
      </c>
      <c r="D16" s="66">
        <f>IF(OR(C16="🏠 Artisan", C16="🧑‍🤝‍🧑 Mix"),IF($H$3="basse",SUMIFS(fact_couts[estimation_basse],fact_couts[categorie],A16,fact_couts[sous_categorie],B16),IF($H$3="haute",SUMIFS(fact_couts[estimation_haute],fact_couts[categorie],A16,fact_couts[sous_categorie],B16),IF($H$3="Moyenne",SUMIFS(fact_couts[cout_moyen],fact_couts[categorie],A16,fact_couts[sous_categorie],B16),E16))),0)</f>
        <v>0</v>
      </c>
      <c r="E16" s="66">
        <f>IF(OR(C16="🔧 DIY", C16="🧑‍🤝‍🧑 Mix"),SUMIFS(fact_couts[cout_diy], fact_couts[categorie],A16,fact_couts[sous_categorie],B16),0)</f>
        <v>0</v>
      </c>
      <c r="F16" s="66">
        <f t="shared" si="0"/>
        <v>0</v>
      </c>
      <c r="G16" s="66" t="str">
        <f>IF(SUMIFS(fact_couts[cout_reel],fact_couts[categorie],A16,fact_couts[sous_categorie],B16) = 0, "", SUMIFS(fact_couts[cout_reel],fact_couts[categorie],A16,fact_couts[sous_categorie],B16) )</f>
        <v/>
      </c>
      <c r="H16" s="67" t="str">
        <f t="shared" si="1"/>
        <v/>
      </c>
      <c r="I16" s="68" t="str">
        <f t="shared" si="2"/>
        <v/>
      </c>
    </row>
    <row r="17" spans="1:9" x14ac:dyDescent="0.2">
      <c r="A17" s="58" t="s">
        <v>44</v>
      </c>
      <c r="B17" s="59" t="s">
        <v>68</v>
      </c>
      <c r="C17" s="60" t="s">
        <v>249</v>
      </c>
      <c r="D17" s="61">
        <f>IF(OR(C17="🏠 Artisan", C17="🧑‍🤝‍🧑 Mix"),IF($H$3="basse",SUMIFS(fact_couts[estimation_basse],fact_couts[categorie],A17,fact_couts[sous_categorie],B17),IF($H$3="haute",SUMIFS(fact_couts[estimation_haute],fact_couts[categorie],A17,fact_couts[sous_categorie],B17),IF($H$3="Moyenne",SUMIFS(fact_couts[cout_moyen],fact_couts[categorie],A17,fact_couts[sous_categorie],B17),E17))),0)</f>
        <v>0</v>
      </c>
      <c r="E17" s="61">
        <f>IF(OR(C17="🔧 DIY", C17="🧑‍🤝‍🧑 Mix"),SUMIFS(fact_couts[cout_diy], fact_couts[categorie],A17,fact_couts[sous_categorie],B17),0)</f>
        <v>0</v>
      </c>
      <c r="F17" s="61">
        <f t="shared" si="0"/>
        <v>0</v>
      </c>
      <c r="G17" s="61" t="str">
        <f>IF(SUMIFS(fact_couts[cout_reel],fact_couts[categorie],A17,fact_couts[sous_categorie],B17) = 0, "", SUMIFS(fact_couts[cout_reel],fact_couts[categorie],A17,fact_couts[sous_categorie],B17) )</f>
        <v/>
      </c>
      <c r="H17" s="62" t="str">
        <f t="shared" si="1"/>
        <v/>
      </c>
      <c r="I17" s="63" t="str">
        <f t="shared" si="2"/>
        <v/>
      </c>
    </row>
    <row r="18" spans="1:9" x14ac:dyDescent="0.2">
      <c r="A18" s="64" t="s">
        <v>44</v>
      </c>
      <c r="B18" s="65" t="s">
        <v>73</v>
      </c>
      <c r="C18" s="60" t="s">
        <v>249</v>
      </c>
      <c r="D18" s="66">
        <f>IF(OR(C18="🏠 Artisan", C18="🧑‍🤝‍🧑 Mix"),IF($H$3="basse",SUMIFS(fact_couts[estimation_basse],fact_couts[categorie],A18,fact_couts[sous_categorie],B18),IF($H$3="haute",SUMIFS(fact_couts[estimation_haute],fact_couts[categorie],A18,fact_couts[sous_categorie],B18),IF($H$3="Moyenne",SUMIFS(fact_couts[cout_moyen],fact_couts[categorie],A18,fact_couts[sous_categorie],B18),E18))),0)</f>
        <v>0</v>
      </c>
      <c r="E18" s="66">
        <f>IF(OR(C18="🔧 DIY", C18="🧑‍🤝‍🧑 Mix"),SUMIFS(fact_couts[cout_diy], fact_couts[categorie],A18,fact_couts[sous_categorie],B18),0)</f>
        <v>0</v>
      </c>
      <c r="F18" s="66">
        <f t="shared" si="0"/>
        <v>0</v>
      </c>
      <c r="G18" s="66" t="str">
        <f>IF(SUMIFS(fact_couts[cout_reel],fact_couts[categorie],A18,fact_couts[sous_categorie],B18) = 0, "", SUMIFS(fact_couts[cout_reel],fact_couts[categorie],A18,fact_couts[sous_categorie],B18) )</f>
        <v/>
      </c>
      <c r="H18" s="67" t="str">
        <f t="shared" si="1"/>
        <v/>
      </c>
      <c r="I18" s="68" t="str">
        <f t="shared" si="2"/>
        <v/>
      </c>
    </row>
    <row r="19" spans="1:9" x14ac:dyDescent="0.2">
      <c r="A19" s="58" t="s">
        <v>77</v>
      </c>
      <c r="B19" s="59" t="s">
        <v>78</v>
      </c>
      <c r="C19" s="60" t="s">
        <v>249</v>
      </c>
      <c r="D19" s="61">
        <f>IF(OR(C19="🏠 Artisan", C19="🧑‍🤝‍🧑 Mix"),IF($H$3="basse",SUMIFS(fact_couts[estimation_basse],fact_couts[categorie],A19,fact_couts[sous_categorie],B19),IF($H$3="haute",SUMIFS(fact_couts[estimation_haute],fact_couts[categorie],A19,fact_couts[sous_categorie],B19),IF($H$3="Moyenne",SUMIFS(fact_couts[cout_moyen],fact_couts[categorie],A19,fact_couts[sous_categorie],B19),E19))),0)</f>
        <v>0</v>
      </c>
      <c r="E19" s="61">
        <f>IF(OR(C19="🔧 DIY", C19="🧑‍🤝‍🧑 Mix"),SUMIFS(fact_couts[cout_diy], fact_couts[categorie],A19,fact_couts[sous_categorie],B19),0)</f>
        <v>0</v>
      </c>
      <c r="F19" s="61">
        <f t="shared" si="0"/>
        <v>0</v>
      </c>
      <c r="G19" s="61" t="str">
        <f>IF(SUMIFS(fact_couts[cout_reel],fact_couts[categorie],A19,fact_couts[sous_categorie],B19) = 0, "", SUMIFS(fact_couts[cout_reel],fact_couts[categorie],A19,fact_couts[sous_categorie],B19) )</f>
        <v/>
      </c>
      <c r="H19" s="62" t="str">
        <f t="shared" si="1"/>
        <v/>
      </c>
      <c r="I19" s="63" t="str">
        <f t="shared" si="2"/>
        <v/>
      </c>
    </row>
    <row r="20" spans="1:9" x14ac:dyDescent="0.2">
      <c r="A20" s="58" t="s">
        <v>77</v>
      </c>
      <c r="B20" s="65" t="s">
        <v>82</v>
      </c>
      <c r="C20" s="60" t="s">
        <v>249</v>
      </c>
      <c r="D20" s="66">
        <f>IF(OR(C20="🏠 Artisan", C20="🧑‍🤝‍🧑 Mix"),IF($H$3="basse",SUMIFS(fact_couts[estimation_basse],fact_couts[categorie],A20,fact_couts[sous_categorie],B20),IF($H$3="haute",SUMIFS(fact_couts[estimation_haute],fact_couts[categorie],A20,fact_couts[sous_categorie],B20),IF($H$3="Moyenne",SUMIFS(fact_couts[cout_moyen],fact_couts[categorie],A20,fact_couts[sous_categorie],B20),E20))),0)</f>
        <v>0</v>
      </c>
      <c r="E20" s="66">
        <f>IF(OR(C20="🔧 DIY", C20="🧑‍🤝‍🧑 Mix"),SUMIFS(fact_couts[cout_diy], fact_couts[categorie],A20,fact_couts[sous_categorie],B20),0)</f>
        <v>0</v>
      </c>
      <c r="F20" s="66">
        <f t="shared" si="0"/>
        <v>0</v>
      </c>
      <c r="G20" s="66" t="str">
        <f>IF(SUMIFS(fact_couts[cout_reel],fact_couts[categorie],A20,fact_couts[sous_categorie],B20) = 0, "", SUMIFS(fact_couts[cout_reel],fact_couts[categorie],A20,fact_couts[sous_categorie],B20) )</f>
        <v/>
      </c>
      <c r="H20" s="67" t="str">
        <f t="shared" si="1"/>
        <v/>
      </c>
      <c r="I20" s="68" t="str">
        <f t="shared" si="2"/>
        <v/>
      </c>
    </row>
    <row r="21" spans="1:9" x14ac:dyDescent="0.2">
      <c r="A21" s="58" t="s">
        <v>77</v>
      </c>
      <c r="B21" s="59" t="s">
        <v>86</v>
      </c>
      <c r="C21" s="60" t="s">
        <v>249</v>
      </c>
      <c r="D21" s="61">
        <f>IF(OR(C21="🏠 Artisan", C21="🧑‍🤝‍🧑 Mix"),IF($H$3="basse",SUMIFS(fact_couts[estimation_basse],fact_couts[categorie],A21,fact_couts[sous_categorie],B21),IF($H$3="haute",SUMIFS(fact_couts[estimation_haute],fact_couts[categorie],A21,fact_couts[sous_categorie],B21),IF($H$3="Moyenne",SUMIFS(fact_couts[cout_moyen],fact_couts[categorie],A21,fact_couts[sous_categorie],B21),E21))),0)</f>
        <v>0</v>
      </c>
      <c r="E21" s="61">
        <f>IF(OR(C21="🔧 DIY", C21="🧑‍🤝‍🧑 Mix"),SUMIFS(fact_couts[cout_diy], fact_couts[categorie],A21,fact_couts[sous_categorie],B21),0)</f>
        <v>0</v>
      </c>
      <c r="F21" s="61">
        <f t="shared" si="0"/>
        <v>0</v>
      </c>
      <c r="G21" s="61" t="str">
        <f>IF(SUMIFS(fact_couts[cout_reel],fact_couts[categorie],A21,fact_couts[sous_categorie],B21) = 0, "", SUMIFS(fact_couts[cout_reel],fact_couts[categorie],A21,fact_couts[sous_categorie],B21) )</f>
        <v/>
      </c>
      <c r="H21" s="62" t="str">
        <f t="shared" si="1"/>
        <v/>
      </c>
      <c r="I21" s="63" t="str">
        <f t="shared" si="2"/>
        <v/>
      </c>
    </row>
    <row r="22" spans="1:9" x14ac:dyDescent="0.2">
      <c r="A22" s="64" t="s">
        <v>90</v>
      </c>
      <c r="B22" s="65" t="s">
        <v>71</v>
      </c>
      <c r="C22" s="60" t="s">
        <v>249</v>
      </c>
      <c r="D22" s="66">
        <f>IF(OR(C22="🏠 Artisan", C22="🧑‍🤝‍🧑 Mix"),IF($H$3="basse",SUMIFS(fact_couts[estimation_basse],fact_couts[categorie],A22,fact_couts[sous_categorie],B22),IF($H$3="haute",SUMIFS(fact_couts[estimation_haute],fact_couts[categorie],A22,fact_couts[sous_categorie],B22),IF($H$3="Moyenne",SUMIFS(fact_couts[cout_moyen],fact_couts[categorie],A22,fact_couts[sous_categorie],B22),E22))),0)</f>
        <v>0</v>
      </c>
      <c r="E22" s="66">
        <f>IF(OR(C22="🔧 DIY", C22="🧑‍🤝‍🧑 Mix"),SUMIFS(fact_couts[cout_diy], fact_couts[categorie],A22,fact_couts[sous_categorie],B22),0)</f>
        <v>0</v>
      </c>
      <c r="F22" s="66">
        <f t="shared" si="0"/>
        <v>0</v>
      </c>
      <c r="G22" s="66" t="str">
        <f>IF(SUMIFS(fact_couts[cout_reel],fact_couts[categorie],A22,fact_couts[sous_categorie],B22) = 0, "", SUMIFS(fact_couts[cout_reel],fact_couts[categorie],A22,fact_couts[sous_categorie],B22) )</f>
        <v/>
      </c>
      <c r="H22" s="67" t="str">
        <f t="shared" si="1"/>
        <v/>
      </c>
      <c r="I22" s="68" t="str">
        <f t="shared" si="2"/>
        <v/>
      </c>
    </row>
    <row r="23" spans="1:9" x14ac:dyDescent="0.2">
      <c r="A23" s="58" t="s">
        <v>90</v>
      </c>
      <c r="B23" s="59" t="s">
        <v>95</v>
      </c>
      <c r="C23" s="60" t="s">
        <v>249</v>
      </c>
      <c r="D23" s="61">
        <f>IF(OR(C23="🏠 Artisan", C23="🧑‍🤝‍🧑 Mix"),IF($H$3="basse",SUMIFS(fact_couts[estimation_basse],fact_couts[categorie],A23,fact_couts[sous_categorie],B23),IF($H$3="haute",SUMIFS(fact_couts[estimation_haute],fact_couts[categorie],A23,fact_couts[sous_categorie],B23),IF($H$3="Moyenne",SUMIFS(fact_couts[cout_moyen],fact_couts[categorie],A23,fact_couts[sous_categorie],B23),E23))),0)</f>
        <v>0</v>
      </c>
      <c r="E23" s="61">
        <f>IF(OR(C23="🔧 DIY", C23="🧑‍🤝‍🧑 Mix"),SUMIFS(fact_couts[cout_diy], fact_couts[categorie],A23,fact_couts[sous_categorie],B23),0)</f>
        <v>0</v>
      </c>
      <c r="F23" s="61">
        <f t="shared" si="0"/>
        <v>0</v>
      </c>
      <c r="G23" s="61" t="str">
        <f>IF(SUMIFS(fact_couts[cout_reel],fact_couts[categorie],A23,fact_couts[sous_categorie],B23) = 0, "", SUMIFS(fact_couts[cout_reel],fact_couts[categorie],A23,fact_couts[sous_categorie],B23) )</f>
        <v/>
      </c>
      <c r="H23" s="62" t="str">
        <f t="shared" si="1"/>
        <v/>
      </c>
      <c r="I23" s="63" t="str">
        <f t="shared" si="2"/>
        <v/>
      </c>
    </row>
    <row r="24" spans="1:9" x14ac:dyDescent="0.2">
      <c r="A24" s="64" t="s">
        <v>90</v>
      </c>
      <c r="B24" s="65" t="s">
        <v>101</v>
      </c>
      <c r="C24" s="60" t="s">
        <v>249</v>
      </c>
      <c r="D24" s="66">
        <f>IF(OR(C24="🏠 Artisan", C24="🧑‍🤝‍🧑 Mix"),IF($H$3="basse",SUMIFS(fact_couts[estimation_basse],fact_couts[categorie],A24,fact_couts[sous_categorie],B24),IF($H$3="haute",SUMIFS(fact_couts[estimation_haute],fact_couts[categorie],A24,fact_couts[sous_categorie],B24),IF($H$3="Moyenne",SUMIFS(fact_couts[cout_moyen],fact_couts[categorie],A24,fact_couts[sous_categorie],B24),E24))),0)</f>
        <v>0</v>
      </c>
      <c r="E24" s="66">
        <f>IF(OR(C24="🔧 DIY", C24="🧑‍🤝‍🧑 Mix"),SUMIFS(fact_couts[cout_diy], fact_couts[categorie],A24,fact_couts[sous_categorie],B24),0)</f>
        <v>0</v>
      </c>
      <c r="F24" s="66">
        <f t="shared" si="0"/>
        <v>0</v>
      </c>
      <c r="G24" s="66" t="str">
        <f>IF(SUMIFS(fact_couts[cout_reel],fact_couts[categorie],A24,fact_couts[sous_categorie],B24) = 0, "", SUMIFS(fact_couts[cout_reel],fact_couts[categorie],A24,fact_couts[sous_categorie],B24) )</f>
        <v/>
      </c>
      <c r="H24" s="67" t="str">
        <f t="shared" si="1"/>
        <v/>
      </c>
      <c r="I24" s="68" t="str">
        <f t="shared" si="2"/>
        <v/>
      </c>
    </row>
    <row r="25" spans="1:9" x14ac:dyDescent="0.2">
      <c r="A25" s="58" t="s">
        <v>90</v>
      </c>
      <c r="B25" s="59" t="s">
        <v>107</v>
      </c>
      <c r="C25" s="60" t="s">
        <v>249</v>
      </c>
      <c r="D25" s="61">
        <f>IF(OR(C25="🏠 Artisan", C25="🧑‍🤝‍🧑 Mix"),IF($H$3="basse",SUMIFS(fact_couts[estimation_basse],fact_couts[categorie],A25,fact_couts[sous_categorie],B25),IF($H$3="haute",SUMIFS(fact_couts[estimation_haute],fact_couts[categorie],A25,fact_couts[sous_categorie],B25),IF($H$3="Moyenne",SUMIFS(fact_couts[cout_moyen],fact_couts[categorie],A25,fact_couts[sous_categorie],B25),E25))),0)</f>
        <v>0</v>
      </c>
      <c r="E25" s="61">
        <f>IF(OR(C25="🔧 DIY", C25="🧑‍🤝‍🧑 Mix"),SUMIFS(fact_couts[cout_diy], fact_couts[categorie],A25,fact_couts[sous_categorie],B25),0)</f>
        <v>0</v>
      </c>
      <c r="F25" s="61">
        <f t="shared" si="0"/>
        <v>0</v>
      </c>
      <c r="G25" s="61" t="str">
        <f>IF(SUMIFS(fact_couts[cout_reel],fact_couts[categorie],A25,fact_couts[sous_categorie],B25) = 0, "", SUMIFS(fact_couts[cout_reel],fact_couts[categorie],A25,fact_couts[sous_categorie],B25) )</f>
        <v/>
      </c>
      <c r="H25" s="62" t="str">
        <f t="shared" si="1"/>
        <v/>
      </c>
      <c r="I25" s="63" t="str">
        <f t="shared" si="2"/>
        <v/>
      </c>
    </row>
    <row r="26" spans="1:9" x14ac:dyDescent="0.2">
      <c r="A26" s="64" t="s">
        <v>90</v>
      </c>
      <c r="B26" s="65" t="s">
        <v>111</v>
      </c>
      <c r="C26" s="60" t="s">
        <v>249</v>
      </c>
      <c r="D26" s="66">
        <f>IF(OR(C26="🏠 Artisan", C26="🧑‍🤝‍🧑 Mix"),IF($H$3="basse",SUMIFS(fact_couts[estimation_basse],fact_couts[categorie],A26,fact_couts[sous_categorie],B26),IF($H$3="haute",SUMIFS(fact_couts[estimation_haute],fact_couts[categorie],A26,fact_couts[sous_categorie],B26),IF($H$3="Moyenne",SUMIFS(fact_couts[cout_moyen],fact_couts[categorie],A26,fact_couts[sous_categorie],B26),E26))),0)</f>
        <v>0</v>
      </c>
      <c r="E26" s="66">
        <f>IF(OR(C26="🔧 DIY", C26="🧑‍🤝‍🧑 Mix"),SUMIFS(fact_couts[cout_diy], fact_couts[categorie],A26,fact_couts[sous_categorie],B26),0)</f>
        <v>0</v>
      </c>
      <c r="F26" s="66">
        <f t="shared" si="0"/>
        <v>0</v>
      </c>
      <c r="G26" s="66" t="str">
        <f>IF(SUMIFS(fact_couts[cout_reel],fact_couts[categorie],A26,fact_couts[sous_categorie],B26) = 0, "", SUMIFS(fact_couts[cout_reel],fact_couts[categorie],A26,fact_couts[sous_categorie],B26) )</f>
        <v/>
      </c>
      <c r="H26" s="67" t="str">
        <f t="shared" si="1"/>
        <v/>
      </c>
      <c r="I26" s="68" t="str">
        <f t="shared" si="2"/>
        <v/>
      </c>
    </row>
    <row r="27" spans="1:9" x14ac:dyDescent="0.2">
      <c r="A27" s="58" t="s">
        <v>90</v>
      </c>
      <c r="B27" s="59" t="s">
        <v>115</v>
      </c>
      <c r="C27" s="60" t="s">
        <v>249</v>
      </c>
      <c r="D27" s="61">
        <f>IF(OR(C27="🏠 Artisan", C27="🧑‍🤝‍🧑 Mix"),IF($H$3="basse",SUMIFS(fact_couts[estimation_basse],fact_couts[categorie],A27,fact_couts[sous_categorie],B27),IF($H$3="haute",SUMIFS(fact_couts[estimation_haute],fact_couts[categorie],A27,fact_couts[sous_categorie],B27),IF($H$3="Moyenne",SUMIFS(fact_couts[cout_moyen],fact_couts[categorie],A27,fact_couts[sous_categorie],B27),E27))),0)</f>
        <v>0</v>
      </c>
      <c r="E27" s="61">
        <f>IF(OR(C27="🔧 DIY", C27="🧑‍🤝‍🧑 Mix"),SUMIFS(fact_couts[cout_diy], fact_couts[categorie],A27,fact_couts[sous_categorie],B27),0)</f>
        <v>0</v>
      </c>
      <c r="F27" s="61">
        <f t="shared" si="0"/>
        <v>0</v>
      </c>
      <c r="G27" s="61" t="str">
        <f>IF(SUMIFS(fact_couts[cout_reel],fact_couts[categorie],A27,fact_couts[sous_categorie],B27) = 0, "", SUMIFS(fact_couts[cout_reel],fact_couts[categorie],A27,fact_couts[sous_categorie],B27) )</f>
        <v/>
      </c>
      <c r="H27" s="62" t="str">
        <f t="shared" si="1"/>
        <v/>
      </c>
      <c r="I27" s="63" t="str">
        <f t="shared" si="2"/>
        <v/>
      </c>
    </row>
    <row r="28" spans="1:9" x14ac:dyDescent="0.2">
      <c r="A28" s="64" t="s">
        <v>120</v>
      </c>
      <c r="B28" s="65" t="s">
        <v>121</v>
      </c>
      <c r="C28" s="60" t="s">
        <v>249</v>
      </c>
      <c r="D28" s="66">
        <f>IF(OR(C28="🏠 Artisan", C28="🧑‍🤝‍🧑 Mix"),IF($H$3="basse",SUMIFS(fact_couts[estimation_basse],fact_couts[categorie],A28,fact_couts[sous_categorie],B28),IF($H$3="haute",SUMIFS(fact_couts[estimation_haute],fact_couts[categorie],A28,fact_couts[sous_categorie],B28),IF($H$3="Moyenne",SUMIFS(fact_couts[cout_moyen],fact_couts[categorie],A28,fact_couts[sous_categorie],B28),E28))),0)</f>
        <v>0</v>
      </c>
      <c r="E28" s="66">
        <f>IF(OR(C28="🔧 DIY", C28="🧑‍🤝‍🧑 Mix"),SUMIFS(fact_couts[cout_diy], fact_couts[categorie],A28,fact_couts[sous_categorie],B28),0)</f>
        <v>0</v>
      </c>
      <c r="F28" s="66">
        <f t="shared" si="0"/>
        <v>0</v>
      </c>
      <c r="G28" s="66" t="str">
        <f>IF(SUMIFS(fact_couts[cout_reel],fact_couts[categorie],A28,fact_couts[sous_categorie],B28) = 0, "", SUMIFS(fact_couts[cout_reel],fact_couts[categorie],A28,fact_couts[sous_categorie],B28) )</f>
        <v/>
      </c>
      <c r="H28" s="67" t="str">
        <f t="shared" si="1"/>
        <v/>
      </c>
      <c r="I28" s="68" t="str">
        <f t="shared" si="2"/>
        <v/>
      </c>
    </row>
    <row r="29" spans="1:9" x14ac:dyDescent="0.2">
      <c r="A29" s="58" t="s">
        <v>120</v>
      </c>
      <c r="B29" s="59" t="s">
        <v>127</v>
      </c>
      <c r="C29" s="60" t="s">
        <v>249</v>
      </c>
      <c r="D29" s="61">
        <f>IF(OR(C29="🏠 Artisan", C29="🧑‍🤝‍🧑 Mix"),IF($H$3="basse",SUMIFS(fact_couts[estimation_basse],fact_couts[categorie],A29,fact_couts[sous_categorie],B29),IF($H$3="haute",SUMIFS(fact_couts[estimation_haute],fact_couts[categorie],A29,fact_couts[sous_categorie],B29),IF($H$3="Moyenne",SUMIFS(fact_couts[cout_moyen],fact_couts[categorie],A29,fact_couts[sous_categorie],B29),E29))),0)</f>
        <v>0</v>
      </c>
      <c r="E29" s="61">
        <f>IF(OR(C29="🔧 DIY", C29="🧑‍🤝‍🧑 Mix"),SUMIFS(fact_couts[cout_diy], fact_couts[categorie],A29,fact_couts[sous_categorie],B29),0)</f>
        <v>0</v>
      </c>
      <c r="F29" s="61">
        <f t="shared" si="0"/>
        <v>0</v>
      </c>
      <c r="G29" s="61" t="str">
        <f>IF(SUMIFS(fact_couts[cout_reel],fact_couts[categorie],A29,fact_couts[sous_categorie],B29) = 0, "", SUMIFS(fact_couts[cout_reel],fact_couts[categorie],A29,fact_couts[sous_categorie],B29) )</f>
        <v/>
      </c>
      <c r="H29" s="62" t="str">
        <f t="shared" si="1"/>
        <v/>
      </c>
      <c r="I29" s="63" t="str">
        <f t="shared" si="2"/>
        <v/>
      </c>
    </row>
    <row r="30" spans="1:9" x14ac:dyDescent="0.2">
      <c r="A30" s="64" t="s">
        <v>120</v>
      </c>
      <c r="B30" s="65" t="s">
        <v>132</v>
      </c>
      <c r="C30" s="60" t="s">
        <v>249</v>
      </c>
      <c r="D30" s="66">
        <f>IF(OR(C30="🏠 Artisan", C30="🧑‍🤝‍🧑 Mix"),IF($H$3="basse",SUMIFS(fact_couts[estimation_basse],fact_couts[categorie],A30,fact_couts[sous_categorie],B30),IF($H$3="haute",SUMIFS(fact_couts[estimation_haute],fact_couts[categorie],A30,fact_couts[sous_categorie],B30),IF($H$3="Moyenne",SUMIFS(fact_couts[cout_moyen],fact_couts[categorie],A30,fact_couts[sous_categorie],B30),E30))),0)</f>
        <v>0</v>
      </c>
      <c r="E30" s="66">
        <f>IF(OR(C30="🔧 DIY", C30="🧑‍🤝‍🧑 Mix"),SUMIFS(fact_couts[cout_diy], fact_couts[categorie],A30,fact_couts[sous_categorie],B30),0)</f>
        <v>0</v>
      </c>
      <c r="F30" s="66">
        <f t="shared" si="0"/>
        <v>0</v>
      </c>
      <c r="G30" s="66" t="str">
        <f>IF(SUMIFS(fact_couts[cout_reel],fact_couts[categorie],A30,fact_couts[sous_categorie],B30) = 0, "", SUMIFS(fact_couts[cout_reel],fact_couts[categorie],A30,fact_couts[sous_categorie],B30) )</f>
        <v/>
      </c>
      <c r="H30" s="67" t="str">
        <f t="shared" si="1"/>
        <v/>
      </c>
      <c r="I30" s="68" t="str">
        <f t="shared" si="2"/>
        <v/>
      </c>
    </row>
    <row r="31" spans="1:9" x14ac:dyDescent="0.2">
      <c r="A31" s="58" t="s">
        <v>120</v>
      </c>
      <c r="B31" s="59" t="s">
        <v>138</v>
      </c>
      <c r="C31" s="60" t="s">
        <v>249</v>
      </c>
      <c r="D31" s="61">
        <f>IF(OR(C31="🏠 Artisan", C31="🧑‍🤝‍🧑 Mix"),IF($H$3="basse",SUMIFS(fact_couts[estimation_basse],fact_couts[categorie],A31,fact_couts[sous_categorie],B31),IF($H$3="haute",SUMIFS(fact_couts[estimation_haute],fact_couts[categorie],A31,fact_couts[sous_categorie],B31),IF($H$3="Moyenne",SUMIFS(fact_couts[cout_moyen],fact_couts[categorie],A31,fact_couts[sous_categorie],B31),E31))),0)</f>
        <v>0</v>
      </c>
      <c r="E31" s="61">
        <f>IF(OR(C31="🔧 DIY", C31="🧑‍🤝‍🧑 Mix"),SUMIFS(fact_couts[cout_diy], fact_couts[categorie],A31,fact_couts[sous_categorie],B31),0)</f>
        <v>0</v>
      </c>
      <c r="F31" s="61">
        <f t="shared" si="0"/>
        <v>0</v>
      </c>
      <c r="G31" s="61" t="str">
        <f>IF(SUMIFS(fact_couts[cout_reel],fact_couts[categorie],A31,fact_couts[sous_categorie],B31) = 0, "", SUMIFS(fact_couts[cout_reel],fact_couts[categorie],A31,fact_couts[sous_categorie],B31) )</f>
        <v/>
      </c>
      <c r="H31" s="62" t="str">
        <f t="shared" si="1"/>
        <v/>
      </c>
      <c r="I31" s="63" t="str">
        <f t="shared" si="2"/>
        <v/>
      </c>
    </row>
    <row r="32" spans="1:9" x14ac:dyDescent="0.2">
      <c r="A32" s="64" t="s">
        <v>143</v>
      </c>
      <c r="B32" s="65" t="s">
        <v>144</v>
      </c>
      <c r="C32" s="60" t="s">
        <v>249</v>
      </c>
      <c r="D32" s="66">
        <f>IF(OR(C32="🏠 Artisan", C32="🧑‍🤝‍🧑 Mix"),IF($H$3="basse",SUMIFS(fact_couts[estimation_basse],fact_couts[categorie],A32,fact_couts[sous_categorie],B32),IF($H$3="haute",SUMIFS(fact_couts[estimation_haute],fact_couts[categorie],A32,fact_couts[sous_categorie],B32),IF($H$3="Moyenne",SUMIFS(fact_couts[cout_moyen],fact_couts[categorie],A32,fact_couts[sous_categorie],B32),E32))),0)</f>
        <v>0</v>
      </c>
      <c r="E32" s="66">
        <f>IF(OR(C32="🔧 DIY", C32="🧑‍🤝‍🧑 Mix"),SUMIFS(fact_couts[cout_diy], fact_couts[categorie],A32,fact_couts[sous_categorie],B32),0)</f>
        <v>0</v>
      </c>
      <c r="F32" s="66">
        <f t="shared" si="0"/>
        <v>0</v>
      </c>
      <c r="G32" s="66" t="str">
        <f>IF(SUMIFS(fact_couts[cout_reel],fact_couts[categorie],A32,fact_couts[sous_categorie],B32) = 0, "", SUMIFS(fact_couts[cout_reel],fact_couts[categorie],A32,fact_couts[sous_categorie],B32) )</f>
        <v/>
      </c>
      <c r="H32" s="67" t="str">
        <f t="shared" si="1"/>
        <v/>
      </c>
      <c r="I32" s="68" t="str">
        <f t="shared" si="2"/>
        <v/>
      </c>
    </row>
    <row r="33" spans="1:9" x14ac:dyDescent="0.2">
      <c r="A33" s="58" t="s">
        <v>143</v>
      </c>
      <c r="B33" s="59" t="s">
        <v>150</v>
      </c>
      <c r="C33" s="60" t="s">
        <v>249</v>
      </c>
      <c r="D33" s="61">
        <f>IF(OR(C33="🏠 Artisan", C33="🧑‍🤝‍🧑 Mix"),IF($H$3="basse",SUMIFS(fact_couts[estimation_basse],fact_couts[categorie],A33,fact_couts[sous_categorie],B33),IF($H$3="haute",SUMIFS(fact_couts[estimation_haute],fact_couts[categorie],A33,fact_couts[sous_categorie],B33),IF($H$3="Moyenne",SUMIFS(fact_couts[cout_moyen],fact_couts[categorie],A33,fact_couts[sous_categorie],B33),E33))),0)</f>
        <v>0</v>
      </c>
      <c r="E33" s="61">
        <f>IF(OR(C33="🔧 DIY", C33="🧑‍🤝‍🧑 Mix"),SUMIFS(fact_couts[cout_diy], fact_couts[categorie],A33,fact_couts[sous_categorie],B33),0)</f>
        <v>0</v>
      </c>
      <c r="F33" s="61">
        <f t="shared" si="0"/>
        <v>0</v>
      </c>
      <c r="G33" s="61" t="str">
        <f>IF(SUMIFS(fact_couts[cout_reel],fact_couts[categorie],A33,fact_couts[sous_categorie],B33) = 0, "", SUMIFS(fact_couts[cout_reel],fact_couts[categorie],A33,fact_couts[sous_categorie],B33) )</f>
        <v/>
      </c>
      <c r="H33" s="62" t="str">
        <f t="shared" si="1"/>
        <v/>
      </c>
      <c r="I33" s="63" t="str">
        <f t="shared" si="2"/>
        <v/>
      </c>
    </row>
    <row r="34" spans="1:9" x14ac:dyDescent="0.2">
      <c r="A34" s="69" t="s">
        <v>143</v>
      </c>
      <c r="B34" s="70" t="s">
        <v>156</v>
      </c>
      <c r="C34" s="71" t="s">
        <v>249</v>
      </c>
      <c r="D34" s="72">
        <f>IF(OR(C34="🏠 Artisan", C34="🧑‍🤝‍🧑 Mix"),IF($H$3="basse",SUMIFS(fact_couts[estimation_basse],fact_couts[categorie],A34,fact_couts[sous_categorie],B34),IF($H$3="haute",SUMIFS(fact_couts[estimation_haute],fact_couts[categorie],A34,fact_couts[sous_categorie],B34),IF($H$3="Moyenne",SUMIFS(fact_couts[cout_moyen],fact_couts[categorie],A34,fact_couts[sous_categorie],B34),E34))),0)</f>
        <v>0</v>
      </c>
      <c r="E34" s="72">
        <f>IF(OR(C34="🔧 DIY", C34="🧑‍🤝‍🧑 Mix"),SUMIFS(fact_couts[cout_diy], fact_couts[categorie],A34,fact_couts[sous_categorie],B34),0)</f>
        <v>0</v>
      </c>
      <c r="F34" s="72">
        <f t="shared" si="0"/>
        <v>0</v>
      </c>
      <c r="G34" s="72" t="str">
        <f>IF(SUMIFS(fact_couts[cout_reel],fact_couts[categorie],A34,fact_couts[sous_categorie],B34) = 0, "", SUMIFS(fact_couts[cout_reel],fact_couts[categorie],A34,fact_couts[sous_categorie],B34) )</f>
        <v/>
      </c>
      <c r="H34" s="73" t="str">
        <f t="shared" si="1"/>
        <v/>
      </c>
      <c r="I34" s="74" t="str">
        <f t="shared" si="2"/>
        <v/>
      </c>
    </row>
    <row r="35" spans="1:9" ht="16" x14ac:dyDescent="0.2">
      <c r="A35" s="13" t="s">
        <v>255</v>
      </c>
      <c r="B35" s="14"/>
      <c r="C35" s="14"/>
      <c r="D35" s="15">
        <f>SUM(D6:D34)</f>
        <v>0</v>
      </c>
      <c r="E35" s="15">
        <f>SUM(E6:E34)</f>
        <v>0</v>
      </c>
      <c r="F35" s="15">
        <f>SUM(F6:F34)</f>
        <v>0</v>
      </c>
      <c r="G35" s="15" t="str">
        <f>IF(SUM(G6:G34)=0,"",SUM(G6:G34))</f>
        <v/>
      </c>
      <c r="H35" s="16" t="str">
        <f>IF(G35="","",SUM(H6:H34))</f>
        <v/>
      </c>
      <c r="I35" s="17" t="str">
        <f>IF(OR(H35 = "", H35 = 0), "",AVERAGE(I6:I34))</f>
        <v/>
      </c>
    </row>
    <row r="37" spans="1:9" ht="26" customHeight="1" x14ac:dyDescent="0.2">
      <c r="A37" s="179" t="s">
        <v>256</v>
      </c>
      <c r="B37" s="179"/>
      <c r="C37" s="179"/>
      <c r="D37" s="179"/>
      <c r="E37" s="179"/>
      <c r="F37" s="179"/>
      <c r="G37" s="179"/>
      <c r="H37" s="179"/>
      <c r="I37" s="179"/>
    </row>
    <row r="39" spans="1:9" x14ac:dyDescent="0.2">
      <c r="A39" s="80" t="s">
        <v>257</v>
      </c>
      <c r="B39" s="80" t="s">
        <v>258</v>
      </c>
      <c r="C39" s="80" t="s">
        <v>259</v>
      </c>
      <c r="D39" s="80" t="s">
        <v>260</v>
      </c>
      <c r="E39" s="81" t="s">
        <v>261</v>
      </c>
      <c r="F39" s="81" t="s">
        <v>262</v>
      </c>
      <c r="G39" s="81" t="s">
        <v>263</v>
      </c>
    </row>
    <row r="40" spans="1:9" ht="19" x14ac:dyDescent="0.25">
      <c r="A40" s="75" t="str">
        <f>TEXT(F35,"# ##0")&amp;" €"</f>
        <v xml:space="preserve"> 0 €</v>
      </c>
      <c r="B40" s="76" t="str">
        <f>TEXT(ROUND(F35/$E$3,0),"# ##0")&amp;" €"</f>
        <v xml:space="preserve"> 0 €</v>
      </c>
      <c r="C40" s="77" cm="1">
        <f t="array" ref="C40">SUMPRODUCT((ISNUMBER(SEARCH("DIY",C6:C34)))*SUMIF(fact_couts[sous_categorie],B6:B34,fact_couts[cout_moyen]))-SUMIF(C6:C34,"*DIY*",E6:E34)</f>
        <v>0</v>
      </c>
      <c r="D40" s="78">
        <f>IF(E35=0, 0, E35/F35)</f>
        <v>0</v>
      </c>
      <c r="E40" s="77" t="str">
        <f>G35</f>
        <v/>
      </c>
      <c r="F40" s="77" t="str">
        <f>H35</f>
        <v/>
      </c>
      <c r="G40" s="79" t="str">
        <f>I35</f>
        <v/>
      </c>
    </row>
    <row r="41" spans="1:9" ht="51" customHeight="1" x14ac:dyDescent="0.25">
      <c r="A41" s="4"/>
      <c r="B41" s="1"/>
      <c r="C41" s="6"/>
      <c r="D41" s="5"/>
      <c r="E41" s="3"/>
      <c r="F41" s="1"/>
      <c r="G41" s="7"/>
      <c r="H41" s="8"/>
    </row>
    <row r="42" spans="1:9" ht="28" customHeight="1" x14ac:dyDescent="0.2">
      <c r="A42" s="180" t="s">
        <v>264</v>
      </c>
      <c r="B42" s="181"/>
      <c r="C42" s="181"/>
      <c r="D42" s="181"/>
      <c r="E42" s="181"/>
      <c r="F42" s="181"/>
      <c r="G42" s="182"/>
    </row>
    <row r="43" spans="1:9" ht="8" customHeight="1" x14ac:dyDescent="0.2">
      <c r="A43" s="82"/>
      <c r="B43" s="88"/>
      <c r="C43" s="88"/>
      <c r="D43" s="88"/>
      <c r="E43" s="88"/>
      <c r="F43" s="88"/>
      <c r="G43" s="83"/>
    </row>
    <row r="44" spans="1:9" ht="22" customHeight="1" x14ac:dyDescent="0.2">
      <c r="A44" s="183" t="s">
        <v>265</v>
      </c>
      <c r="B44" s="184"/>
      <c r="C44" s="184"/>
      <c r="D44" s="92"/>
      <c r="E44" s="92"/>
      <c r="F44" s="92"/>
      <c r="G44" s="93"/>
    </row>
    <row r="45" spans="1:9" ht="18" customHeight="1" x14ac:dyDescent="0.2">
      <c r="A45" s="185" t="s">
        <v>266</v>
      </c>
      <c r="B45" s="186"/>
      <c r="C45" s="186"/>
      <c r="D45" s="186"/>
      <c r="E45" s="186"/>
      <c r="F45" s="186"/>
      <c r="G45" s="187"/>
    </row>
    <row r="46" spans="1:9" ht="18" customHeight="1" x14ac:dyDescent="0.2">
      <c r="A46" s="185"/>
      <c r="B46" s="186"/>
      <c r="C46" s="186"/>
      <c r="D46" s="186"/>
      <c r="E46" s="186"/>
      <c r="F46" s="186"/>
      <c r="G46" s="187"/>
    </row>
    <row r="47" spans="1:9" ht="6" customHeight="1" x14ac:dyDescent="0.2">
      <c r="A47" s="95"/>
      <c r="B47" s="92"/>
      <c r="C47" s="92"/>
      <c r="D47" s="92"/>
      <c r="E47" s="92"/>
      <c r="F47" s="92"/>
      <c r="G47" s="93"/>
    </row>
    <row r="48" spans="1:9" ht="22" customHeight="1" x14ac:dyDescent="0.2">
      <c r="A48" s="183" t="s">
        <v>267</v>
      </c>
      <c r="B48" s="184"/>
      <c r="C48" s="184"/>
      <c r="D48" s="92"/>
      <c r="E48" s="92"/>
      <c r="F48" s="92"/>
      <c r="G48" s="93"/>
    </row>
    <row r="49" spans="1:7" ht="18" customHeight="1" x14ac:dyDescent="0.2">
      <c r="A49" s="89" t="s">
        <v>268</v>
      </c>
      <c r="B49" s="92"/>
      <c r="C49" s="92"/>
      <c r="D49" s="92"/>
      <c r="E49" s="92"/>
      <c r="F49" s="92"/>
      <c r="G49" s="93"/>
    </row>
    <row r="50" spans="1:7" ht="22" customHeight="1" x14ac:dyDescent="0.2">
      <c r="A50" s="188" t="s">
        <v>269</v>
      </c>
      <c r="B50" s="189"/>
      <c r="C50" s="189"/>
      <c r="D50" s="189"/>
      <c r="E50" s="189"/>
      <c r="F50" s="189"/>
      <c r="G50" s="190"/>
    </row>
    <row r="51" spans="1:7" ht="18" customHeight="1" x14ac:dyDescent="0.2">
      <c r="A51" s="89" t="s">
        <v>270</v>
      </c>
      <c r="B51" s="92"/>
      <c r="C51" s="92"/>
      <c r="D51" s="92"/>
      <c r="E51" s="92"/>
      <c r="F51" s="92"/>
      <c r="G51" s="93"/>
    </row>
    <row r="52" spans="1:7" ht="16" customHeight="1" x14ac:dyDescent="0.2">
      <c r="A52" s="185" t="s">
        <v>271</v>
      </c>
      <c r="B52" s="186"/>
      <c r="C52" s="186"/>
      <c r="D52" s="186"/>
      <c r="E52" s="186"/>
      <c r="F52" s="186"/>
      <c r="G52" s="187"/>
    </row>
    <row r="53" spans="1:7" ht="16" customHeight="1" x14ac:dyDescent="0.2">
      <c r="A53" s="185"/>
      <c r="B53" s="186"/>
      <c r="C53" s="186"/>
      <c r="D53" s="186"/>
      <c r="E53" s="186"/>
      <c r="F53" s="186"/>
      <c r="G53" s="187"/>
    </row>
    <row r="54" spans="1:7" ht="6" customHeight="1" x14ac:dyDescent="0.2">
      <c r="A54" s="95"/>
      <c r="B54" s="92"/>
      <c r="C54" s="92"/>
      <c r="D54" s="92"/>
      <c r="E54" s="92"/>
      <c r="F54" s="92"/>
      <c r="G54" s="93"/>
    </row>
    <row r="55" spans="1:7" ht="22" customHeight="1" x14ac:dyDescent="0.2">
      <c r="A55" s="183" t="s">
        <v>272</v>
      </c>
      <c r="B55" s="184"/>
      <c r="C55" s="184"/>
      <c r="D55" s="92"/>
      <c r="E55" s="92"/>
      <c r="F55" s="92"/>
      <c r="G55" s="93"/>
    </row>
    <row r="56" spans="1:7" ht="16" customHeight="1" x14ac:dyDescent="0.2">
      <c r="A56" s="185" t="s">
        <v>273</v>
      </c>
      <c r="B56" s="186"/>
      <c r="C56" s="186"/>
      <c r="D56" s="186"/>
      <c r="E56" s="186"/>
      <c r="F56" s="186"/>
      <c r="G56" s="187"/>
    </row>
    <row r="57" spans="1:7" ht="16" customHeight="1" x14ac:dyDescent="0.2">
      <c r="A57" s="185"/>
      <c r="B57" s="186"/>
      <c r="C57" s="186"/>
      <c r="D57" s="186"/>
      <c r="E57" s="186"/>
      <c r="F57" s="186"/>
      <c r="G57" s="187"/>
    </row>
    <row r="58" spans="1:7" ht="6" customHeight="1" x14ac:dyDescent="0.2">
      <c r="A58" s="95"/>
      <c r="B58" s="92"/>
      <c r="C58" s="92"/>
      <c r="D58" s="92"/>
      <c r="E58" s="92"/>
      <c r="F58" s="92"/>
      <c r="G58" s="93"/>
    </row>
    <row r="59" spans="1:7" ht="23" customHeight="1" x14ac:dyDescent="0.2">
      <c r="A59" s="183" t="s">
        <v>274</v>
      </c>
      <c r="B59" s="184"/>
      <c r="C59" s="184"/>
      <c r="D59" s="92"/>
      <c r="E59" s="92"/>
      <c r="F59" s="92"/>
      <c r="G59" s="93"/>
    </row>
    <row r="60" spans="1:7" ht="16" customHeight="1" x14ac:dyDescent="0.2">
      <c r="A60" s="185" t="s">
        <v>275</v>
      </c>
      <c r="B60" s="186"/>
      <c r="C60" s="186"/>
      <c r="D60" s="186"/>
      <c r="E60" s="186"/>
      <c r="F60" s="186"/>
      <c r="G60" s="187"/>
    </row>
    <row r="61" spans="1:7" ht="16" customHeight="1" x14ac:dyDescent="0.2">
      <c r="A61" s="185"/>
      <c r="B61" s="186"/>
      <c r="C61" s="186"/>
      <c r="D61" s="186"/>
      <c r="E61" s="186"/>
      <c r="F61" s="186"/>
      <c r="G61" s="187"/>
    </row>
    <row r="62" spans="1:7" ht="16" customHeight="1" x14ac:dyDescent="0.2">
      <c r="A62" s="185"/>
      <c r="B62" s="186"/>
      <c r="C62" s="186"/>
      <c r="D62" s="186"/>
      <c r="E62" s="186"/>
      <c r="F62" s="186"/>
      <c r="G62" s="187"/>
    </row>
    <row r="63" spans="1:7" ht="6" customHeight="1" x14ac:dyDescent="0.2">
      <c r="A63" s="95"/>
      <c r="B63" s="92"/>
      <c r="C63" s="92"/>
      <c r="D63" s="92"/>
      <c r="E63" s="92"/>
      <c r="F63" s="92"/>
      <c r="G63" s="93"/>
    </row>
    <row r="64" spans="1:7" ht="22" customHeight="1" x14ac:dyDescent="0.2">
      <c r="A64" s="194" t="s">
        <v>212</v>
      </c>
      <c r="B64" s="195"/>
      <c r="C64" s="195"/>
      <c r="D64" s="92"/>
      <c r="E64" s="92"/>
      <c r="F64" s="92"/>
      <c r="G64" s="93"/>
    </row>
    <row r="65" spans="1:7" ht="18" customHeight="1" x14ac:dyDescent="0.2">
      <c r="A65" s="191" t="s">
        <v>276</v>
      </c>
      <c r="B65" s="192"/>
      <c r="C65" s="192"/>
      <c r="D65" s="192"/>
      <c r="E65" s="192"/>
      <c r="F65" s="192"/>
      <c r="G65" s="193"/>
    </row>
  </sheetData>
  <mergeCells count="16">
    <mergeCell ref="A65:G65"/>
    <mergeCell ref="A55:C55"/>
    <mergeCell ref="A56:G57"/>
    <mergeCell ref="A59:C59"/>
    <mergeCell ref="A60:G62"/>
    <mergeCell ref="A64:C64"/>
    <mergeCell ref="A44:C44"/>
    <mergeCell ref="A45:G46"/>
    <mergeCell ref="A48:C48"/>
    <mergeCell ref="A50:G50"/>
    <mergeCell ref="A52:G53"/>
    <mergeCell ref="K5:Q5"/>
    <mergeCell ref="A1:Q1"/>
    <mergeCell ref="A37:G37"/>
    <mergeCell ref="H37:I37"/>
    <mergeCell ref="A42:G42"/>
  </mergeCells>
  <conditionalFormatting sqref="F40:G40 G41:H41">
    <cfRule type="cellIs" dxfId="5" priority="13" stopIfTrue="1" operator="greaterThan">
      <formula>0</formula>
    </cfRule>
    <cfRule type="cellIs" dxfId="4" priority="14" stopIfTrue="1" operator="lessThan">
      <formula>0</formula>
    </cfRule>
  </conditionalFormatting>
  <conditionalFormatting sqref="I6:I34">
    <cfRule type="expression" dxfId="3" priority="15" stopIfTrue="1">
      <formula>AND(I6&lt;&gt;"",I6&gt;0)</formula>
    </cfRule>
    <cfRule type="expression" dxfId="2" priority="16" stopIfTrue="1">
      <formula>AND(I6&lt;&gt;"",I6&lt;0)</formula>
    </cfRule>
  </conditionalFormatting>
  <dataValidations count="2">
    <dataValidation type="list" allowBlank="1" showInputMessage="1" showErrorMessage="1" sqref="C6:C34" xr:uid="{D659AB66-BD78-4034-9077-49AFBE81B9B3}">
      <formula1>"🏠 Artisan, 🔧 DIY, 🧑‍🤝‍🧑 Mix"</formula1>
    </dataValidation>
    <dataValidation type="list" allowBlank="1" showInputMessage="1" showErrorMessage="1" sqref="H3" xr:uid="{B50E89D4-D876-2D47-97A8-A4E3967CE7E5}">
      <formula1>$AT$2:$AT$4</formula1>
    </dataValidation>
  </dataValidations>
  <pageMargins left="0.75" right="0.75" top="1" bottom="1" header="0.5" footer="0.5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BD40B-DC30-4467-94E4-F246464972D3}">
  <sheetPr codeName="Sheet5"/>
  <dimension ref="B2:AO22"/>
  <sheetViews>
    <sheetView showGridLines="0" zoomScale="130" zoomScaleNormal="130" workbookViewId="0">
      <selection activeCell="I34" sqref="I34"/>
    </sheetView>
  </sheetViews>
  <sheetFormatPr baseColWidth="10" defaultColWidth="8.83203125" defaultRowHeight="15" x14ac:dyDescent="0.2"/>
  <cols>
    <col min="1" max="1" width="5.83203125" customWidth="1"/>
    <col min="2" max="2" width="14.5" bestFit="1" customWidth="1"/>
    <col min="3" max="3" width="20.33203125" bestFit="1" customWidth="1"/>
    <col min="5" max="5" width="10.6640625" hidden="1" customWidth="1"/>
    <col min="6" max="6" width="10.5" bestFit="1" customWidth="1"/>
    <col min="7" max="7" width="20.33203125" bestFit="1" customWidth="1"/>
    <col min="8" max="8" width="21" bestFit="1" customWidth="1"/>
    <col min="9" max="9" width="25.83203125" bestFit="1" customWidth="1"/>
    <col min="10" max="10" width="17.1640625" bestFit="1" customWidth="1"/>
    <col min="11" max="11" width="13.1640625" bestFit="1" customWidth="1"/>
    <col min="12" max="12" width="17.33203125" bestFit="1" customWidth="1"/>
    <col min="13" max="13" width="23.1640625" bestFit="1" customWidth="1"/>
    <col min="14" max="14" width="14.83203125" bestFit="1" customWidth="1"/>
    <col min="15" max="15" width="19.5" bestFit="1" customWidth="1"/>
    <col min="16" max="16" width="14.6640625" bestFit="1" customWidth="1"/>
    <col min="17" max="17" width="11.1640625" customWidth="1"/>
    <col min="18" max="18" width="81.1640625" bestFit="1" customWidth="1"/>
    <col min="19" max="19" width="11.6640625" bestFit="1" customWidth="1"/>
    <col min="20" max="20" width="81.1640625" bestFit="1" customWidth="1"/>
    <col min="21" max="21" width="11.83203125" bestFit="1" customWidth="1"/>
    <col min="22" max="22" width="14.6640625" bestFit="1" customWidth="1"/>
    <col min="23" max="23" width="14.6640625" hidden="1" customWidth="1"/>
    <col min="24" max="24" width="27.6640625" hidden="1" customWidth="1"/>
    <col min="25" max="26" width="22.5" hidden="1" customWidth="1"/>
    <col min="27" max="27" width="11.6640625" hidden="1" customWidth="1"/>
    <col min="28" max="28" width="19.1640625" hidden="1" customWidth="1"/>
    <col min="29" max="29" width="8.6640625" hidden="1" customWidth="1"/>
    <col min="30" max="30" width="9.6640625" hidden="1" customWidth="1"/>
    <col min="31" max="34" width="8.83203125" customWidth="1"/>
    <col min="35" max="35" width="20.33203125" customWidth="1"/>
    <col min="36" max="36" width="12.33203125" bestFit="1" customWidth="1"/>
    <col min="37" max="37" width="11.33203125" bestFit="1" customWidth="1"/>
    <col min="38" max="38" width="15.83203125" bestFit="1" customWidth="1"/>
    <col min="39" max="39" width="27.1640625" customWidth="1"/>
    <col min="41" max="41" width="9.6640625" style="25" bestFit="1" customWidth="1"/>
  </cols>
  <sheetData>
    <row r="2" spans="2:41" ht="28" customHeight="1" x14ac:dyDescent="0.2">
      <c r="B2" s="198" t="s">
        <v>277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200"/>
    </row>
    <row r="3" spans="2:41" ht="16" x14ac:dyDescent="0.2">
      <c r="B3" s="118" t="s">
        <v>278</v>
      </c>
      <c r="C3" s="92"/>
      <c r="D3" s="92"/>
      <c r="E3" s="92"/>
      <c r="F3" s="92"/>
      <c r="G3" s="92"/>
      <c r="H3" s="92"/>
      <c r="I3" s="88"/>
      <c r="J3" s="203" t="s">
        <v>279</v>
      </c>
      <c r="K3" s="203"/>
      <c r="L3" s="203"/>
      <c r="M3" s="203"/>
      <c r="N3" s="203"/>
      <c r="O3" s="203"/>
      <c r="P3" s="203"/>
      <c r="Q3" s="204"/>
    </row>
    <row r="4" spans="2:41" ht="16" x14ac:dyDescent="0.2">
      <c r="B4" s="119" t="s">
        <v>280</v>
      </c>
      <c r="C4" s="112"/>
      <c r="D4" s="112"/>
      <c r="E4" s="112"/>
      <c r="F4" s="112"/>
      <c r="G4" s="112"/>
      <c r="H4" s="92"/>
      <c r="I4" s="88"/>
      <c r="J4" s="201" t="s">
        <v>332</v>
      </c>
      <c r="K4" s="201"/>
      <c r="L4" s="201"/>
      <c r="M4" s="201"/>
      <c r="N4" s="201"/>
      <c r="O4" s="201"/>
      <c r="P4" s="201"/>
      <c r="Q4" s="202"/>
    </row>
    <row r="5" spans="2:41" ht="16" x14ac:dyDescent="0.2">
      <c r="B5" s="119" t="s">
        <v>281</v>
      </c>
      <c r="C5" s="112"/>
      <c r="D5" s="112"/>
      <c r="E5" s="112"/>
      <c r="F5" s="112"/>
      <c r="G5" s="112"/>
      <c r="H5" s="92"/>
      <c r="I5" s="92"/>
      <c r="J5" s="201" t="s">
        <v>282</v>
      </c>
      <c r="K5" s="201"/>
      <c r="L5" s="201"/>
      <c r="M5" s="201"/>
      <c r="N5" s="201"/>
      <c r="O5" s="201"/>
      <c r="P5" s="201"/>
      <c r="Q5" s="202"/>
    </row>
    <row r="6" spans="2:41" ht="9" customHeight="1" x14ac:dyDescent="0.2">
      <c r="B6" s="120"/>
      <c r="C6" s="92"/>
      <c r="D6" s="92"/>
      <c r="E6" s="92"/>
      <c r="F6" s="92"/>
      <c r="G6" s="92"/>
      <c r="H6" s="92"/>
      <c r="I6" s="92"/>
      <c r="J6" s="113"/>
      <c r="K6" s="92"/>
      <c r="L6" s="92"/>
      <c r="M6" s="92"/>
      <c r="N6" s="92"/>
      <c r="Q6" s="122"/>
    </row>
    <row r="7" spans="2:41" ht="16" x14ac:dyDescent="0.2">
      <c r="B7" s="118" t="s">
        <v>283</v>
      </c>
      <c r="C7" s="92"/>
      <c r="D7" s="92"/>
      <c r="E7" s="92"/>
      <c r="F7" s="92"/>
      <c r="G7" s="92"/>
      <c r="H7" s="92"/>
      <c r="I7" s="114" t="s">
        <v>284</v>
      </c>
      <c r="J7" s="205" t="s">
        <v>285</v>
      </c>
      <c r="K7" s="205"/>
      <c r="L7" s="205"/>
      <c r="M7" s="205"/>
      <c r="N7" s="205"/>
      <c r="O7" s="205"/>
      <c r="P7" s="205"/>
      <c r="Q7" s="206"/>
    </row>
    <row r="8" spans="2:41" ht="16" x14ac:dyDescent="0.2">
      <c r="B8" s="119" t="s">
        <v>286</v>
      </c>
      <c r="C8" s="112"/>
      <c r="D8" s="112"/>
      <c r="E8" s="112"/>
      <c r="F8" s="112"/>
      <c r="G8" s="112"/>
      <c r="H8" s="92"/>
      <c r="I8" s="92"/>
      <c r="J8" s="196" t="s">
        <v>287</v>
      </c>
      <c r="K8" s="196"/>
      <c r="L8" s="196"/>
      <c r="M8" s="196"/>
      <c r="N8" s="196"/>
      <c r="O8" s="196"/>
      <c r="P8" s="196"/>
      <c r="Q8" s="197"/>
    </row>
    <row r="9" spans="2:41" ht="16" x14ac:dyDescent="0.2">
      <c r="B9" s="119" t="s">
        <v>288</v>
      </c>
      <c r="C9" s="112"/>
      <c r="D9" s="112"/>
      <c r="E9" s="112"/>
      <c r="F9" s="112"/>
      <c r="G9" s="112"/>
      <c r="H9" s="92"/>
      <c r="I9" s="92"/>
      <c r="J9" s="196"/>
      <c r="K9" s="196"/>
      <c r="L9" s="196"/>
      <c r="M9" s="196"/>
      <c r="N9" s="196"/>
      <c r="O9" s="196"/>
      <c r="P9" s="196"/>
      <c r="Q9" s="197"/>
    </row>
    <row r="10" spans="2:41" ht="16" x14ac:dyDescent="0.2">
      <c r="B10" s="121" t="s">
        <v>289</v>
      </c>
      <c r="C10" s="115"/>
      <c r="D10" s="116"/>
      <c r="E10" s="116"/>
      <c r="F10" s="116"/>
      <c r="G10" s="116"/>
      <c r="H10" s="116"/>
      <c r="I10" s="116"/>
      <c r="J10" s="155" t="s">
        <v>347</v>
      </c>
      <c r="K10" s="116"/>
      <c r="L10" s="116"/>
      <c r="M10" s="116"/>
      <c r="N10" s="116"/>
      <c r="O10" s="117"/>
      <c r="P10" s="117"/>
      <c r="Q10" s="123"/>
    </row>
    <row r="13" spans="2:41" x14ac:dyDescent="0.2">
      <c r="B13" t="s">
        <v>290</v>
      </c>
      <c r="C13" t="s">
        <v>291</v>
      </c>
      <c r="E13" t="s">
        <v>170</v>
      </c>
      <c r="F13" s="111" t="s">
        <v>171</v>
      </c>
      <c r="G13" s="111" t="s">
        <v>163</v>
      </c>
      <c r="H13" s="111" t="s">
        <v>164</v>
      </c>
      <c r="I13" s="111" t="s">
        <v>165</v>
      </c>
      <c r="J13" s="111" t="s">
        <v>317</v>
      </c>
      <c r="K13" t="s">
        <v>172</v>
      </c>
      <c r="L13" t="s">
        <v>173</v>
      </c>
      <c r="M13" t="s">
        <v>174</v>
      </c>
      <c r="N13" t="s">
        <v>292</v>
      </c>
      <c r="O13" t="s">
        <v>314</v>
      </c>
      <c r="P13" t="s">
        <v>179</v>
      </c>
      <c r="W13" t="s">
        <v>293</v>
      </c>
      <c r="X13" t="s">
        <v>187</v>
      </c>
      <c r="Y13" t="s">
        <v>294</v>
      </c>
      <c r="Z13" t="s">
        <v>349</v>
      </c>
      <c r="AA13" t="s">
        <v>189</v>
      </c>
      <c r="AB13" t="s">
        <v>295</v>
      </c>
      <c r="AC13" t="s">
        <v>185</v>
      </c>
      <c r="AD13" s="25" t="s">
        <v>296</v>
      </c>
      <c r="AO13"/>
    </row>
    <row r="14" spans="2:41" x14ac:dyDescent="0.2">
      <c r="B14" t="s">
        <v>163</v>
      </c>
      <c r="F14" s="111"/>
      <c r="G14" s="111"/>
      <c r="H14" s="111"/>
      <c r="I14" s="111"/>
      <c r="J14" s="111"/>
      <c r="N14" s="162">
        <v>0</v>
      </c>
      <c r="P14" s="161"/>
      <c r="W14" cm="1">
        <f t="array" ref="W14">_xlfn.UNIQUE(input_staging[categorie])</f>
        <v>0</v>
      </c>
      <c r="X14" cm="1">
        <f t="array" ref="X14">IFERROR(_xlfn.UNIQUE(_xlfn._xlws.FILTER(input_staging[sous_categorie], input_staging[categorie] = $C$14)), "")</f>
        <v>0</v>
      </c>
      <c r="Y14" cm="1">
        <f t="array" ref="Y14">IFERROR(_xlfn.UNIQUE(_xlfn._xlws.FILTER(input_staging[produit], (input_staging[categorie]=$C$14)*(input_staging[sous_categorie]=$C$15))), "")</f>
        <v>0</v>
      </c>
      <c r="Z14" cm="1">
        <f t="array" ref="Z14">IFERROR(_xlfn.UNIQUE(_xlfn._xlws.FILTER(input_staging[sous_produit], (input_staging[categorie]=$C$14)*(input_staging[sous_categorie]=$C$15)*(input_staging[produit]=$C$16))), "")</f>
        <v>0</v>
      </c>
      <c r="AA14" t="str" cm="1">
        <f t="array" ref="AA14">IFERROR(_xlfn._xlws.FILTER(input_staging[fournisseur], (input_staging[categorie]=$C$14)*(input_staging[is_deleted]&lt;&gt;TRUE)*(input_staging[fournisseur]&lt;&gt;"")), "")</f>
        <v/>
      </c>
      <c r="AB14" t="e" cm="1" vm="1">
        <f t="array" ref="AB14">_xlfn.UNIQUE(_xlfn._xlws.FILTER(input_staging[fournisseur], (input_staging[is_deleted]&lt;&gt;TRUE)*(input_staging[fournisseur]&lt;&gt;"")))</f>
        <v>#VALUE!</v>
      </c>
      <c r="AC14" cm="1">
        <f t="array" ref="AC14">_xlfn.UNIQUE(input_staging[type])</f>
        <v>0</v>
      </c>
      <c r="AD14" s="25" cm="1">
        <f t="array" ref="AD14">_xlfn.UNIQUE(input_staging[date])</f>
        <v>0</v>
      </c>
      <c r="AO14"/>
    </row>
    <row r="15" spans="2:41" x14ac:dyDescent="0.2">
      <c r="B15" t="s">
        <v>164</v>
      </c>
      <c r="AD15" s="25"/>
      <c r="AO15"/>
    </row>
    <row r="16" spans="2:41" x14ac:dyDescent="0.2">
      <c r="B16" t="s">
        <v>165</v>
      </c>
      <c r="AJ16" s="25"/>
      <c r="AO16"/>
    </row>
    <row r="17" spans="2:41" x14ac:dyDescent="0.2">
      <c r="B17" t="s">
        <v>317</v>
      </c>
      <c r="AI17" s="25"/>
      <c r="AO17"/>
    </row>
    <row r="18" spans="2:41" x14ac:dyDescent="0.2">
      <c r="B18" t="s">
        <v>174</v>
      </c>
      <c r="AI18" s="25"/>
      <c r="AO18"/>
    </row>
    <row r="19" spans="2:41" x14ac:dyDescent="0.2">
      <c r="B19" t="s">
        <v>173</v>
      </c>
    </row>
    <row r="20" spans="2:41" x14ac:dyDescent="0.2">
      <c r="B20" t="s">
        <v>172</v>
      </c>
    </row>
    <row r="21" spans="2:41" x14ac:dyDescent="0.2">
      <c r="B21" t="s">
        <v>297</v>
      </c>
      <c r="C21" s="25"/>
    </row>
    <row r="22" spans="2:41" x14ac:dyDescent="0.2">
      <c r="B22" t="s">
        <v>298</v>
      </c>
      <c r="C22" s="25"/>
    </row>
  </sheetData>
  <mergeCells count="6">
    <mergeCell ref="J8:Q9"/>
    <mergeCell ref="B2:Q2"/>
    <mergeCell ref="J4:Q4"/>
    <mergeCell ref="J3:Q3"/>
    <mergeCell ref="J5:Q5"/>
    <mergeCell ref="J7:Q7"/>
  </mergeCells>
  <phoneticPr fontId="15" type="noConversion"/>
  <dataValidations count="7">
    <dataValidation type="list" allowBlank="1" showInputMessage="1" showErrorMessage="1" sqref="C14" xr:uid="{D25E647F-FAA3-4D5A-9958-19E28397EAE2}">
      <formula1>RechercheCatList</formula1>
    </dataValidation>
    <dataValidation type="list" allowBlank="1" showInputMessage="1" showErrorMessage="1" sqref="C15" xr:uid="{AA2FDDF6-0764-4079-AF9F-78AE58994102}">
      <formula1>RechercheSousCatList</formula1>
    </dataValidation>
    <dataValidation type="list" allowBlank="1" showInputMessage="1" showErrorMessage="1" sqref="C16" xr:uid="{74C5B013-CFCC-4F98-BA3D-44E32B72C502}">
      <formula1>RechercheProduitList</formula1>
    </dataValidation>
    <dataValidation type="list" allowBlank="1" showInputMessage="1" showErrorMessage="1" sqref="C19" xr:uid="{7A424972-5DAF-4ECF-9602-6DCEE5F2620E}">
      <formula1>IF($C$14 = "", RechercheAllFournisseurs, RechercheFournisseursList)</formula1>
    </dataValidation>
    <dataValidation type="list" allowBlank="1" showInputMessage="1" showErrorMessage="1" sqref="C20" xr:uid="{C9FBA129-94A2-4940-8BF0-F8D0324E898A}">
      <formula1>RechercheTypeList</formula1>
    </dataValidation>
    <dataValidation type="list" allowBlank="1" showInputMessage="1" showErrorMessage="1" sqref="C21:C22" xr:uid="{DEE091E8-E8B4-400A-9DAA-5C5D999FD837}">
      <formula1>RechercheDatesList</formula1>
    </dataValidation>
    <dataValidation type="list" allowBlank="1" showInputMessage="1" showErrorMessage="1" sqref="C17" xr:uid="{A427B559-154E-754E-AA13-551216AFFFE1}">
      <formula1>RechercheSousProduitsList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1" r:id="rId3" name="Button 5">
              <controlPr defaultSize="0" print="0" autoFill="0" autoPict="0" macro="[0]!RefreshSearchResults">
                <anchor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3</xdr:col>
                    <xdr:colOff>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4" name="Button 6">
              <controlPr defaultSize="0" print="0" autoFill="0" autoPict="0" macro="[0]!DeleteSelectedTransaction">
                <anchor>
                  <from>
                    <xdr:col>1</xdr:col>
                    <xdr:colOff>0</xdr:colOff>
                    <xdr:row>27</xdr:row>
                    <xdr:rowOff>76200</xdr:rowOff>
                  </from>
                  <to>
                    <xdr:col>3</xdr:col>
                    <xdr:colOff>0</xdr:colOff>
                    <xdr:row>29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CCEB6-2A80-5543-B554-8C68883D83DB}">
  <sheetPr codeName="Sheet9"/>
  <dimension ref="B2:H23"/>
  <sheetViews>
    <sheetView showGridLines="0" zoomScale="130" zoomScaleNormal="130" workbookViewId="0">
      <selection activeCell="C49" sqref="C49"/>
    </sheetView>
  </sheetViews>
  <sheetFormatPr baseColWidth="10" defaultColWidth="11.5" defaultRowHeight="15" x14ac:dyDescent="0.2"/>
  <cols>
    <col min="1" max="1" width="3.33203125" customWidth="1"/>
    <col min="2" max="2" width="30" customWidth="1"/>
    <col min="3" max="3" width="39" bestFit="1" customWidth="1"/>
    <col min="4" max="4" width="20" customWidth="1"/>
    <col min="5" max="5" width="16.6640625" customWidth="1"/>
    <col min="6" max="6" width="20" customWidth="1"/>
    <col min="7" max="7" width="18.33203125" customWidth="1"/>
    <col min="8" max="8" width="22" bestFit="1" customWidth="1"/>
  </cols>
  <sheetData>
    <row r="2" spans="2:7" ht="28" customHeight="1" x14ac:dyDescent="0.2">
      <c r="B2" s="180" t="s">
        <v>299</v>
      </c>
      <c r="C2" s="181"/>
      <c r="D2" s="181"/>
      <c r="E2" s="181"/>
      <c r="F2" s="181"/>
      <c r="G2" s="182"/>
    </row>
    <row r="3" spans="2:7" ht="6" customHeight="1" x14ac:dyDescent="0.2">
      <c r="B3" s="82"/>
      <c r="C3" s="88"/>
      <c r="D3" s="88"/>
      <c r="E3" s="88"/>
      <c r="F3" s="88"/>
      <c r="G3" s="83"/>
    </row>
    <row r="4" spans="2:7" ht="16" x14ac:dyDescent="0.2">
      <c r="B4" s="108" t="s">
        <v>300</v>
      </c>
      <c r="C4" s="92"/>
      <c r="D4" s="92"/>
      <c r="E4" s="92"/>
      <c r="F4" s="88"/>
      <c r="G4" s="83"/>
    </row>
    <row r="5" spans="2:7" ht="16" x14ac:dyDescent="0.2">
      <c r="B5" s="91" t="s">
        <v>301</v>
      </c>
      <c r="C5" s="92"/>
      <c r="D5" s="92"/>
      <c r="E5" s="92"/>
      <c r="F5" s="88"/>
      <c r="G5" s="83"/>
    </row>
    <row r="6" spans="2:7" ht="6" customHeight="1" x14ac:dyDescent="0.2">
      <c r="B6" s="95"/>
      <c r="C6" s="92"/>
      <c r="D6" s="92"/>
      <c r="E6" s="92"/>
      <c r="F6" s="88"/>
      <c r="G6" s="83"/>
    </row>
    <row r="7" spans="2:7" ht="16" x14ac:dyDescent="0.2">
      <c r="B7" s="108" t="s">
        <v>302</v>
      </c>
      <c r="C7" s="92"/>
      <c r="D7" s="92"/>
      <c r="E7" s="92"/>
      <c r="F7" s="88"/>
      <c r="G7" s="83"/>
    </row>
    <row r="8" spans="2:7" ht="19" x14ac:dyDescent="0.25">
      <c r="B8" s="91" t="s">
        <v>331</v>
      </c>
      <c r="C8" s="92"/>
      <c r="D8" s="92"/>
      <c r="E8" s="92"/>
      <c r="F8" s="88"/>
      <c r="G8" s="83"/>
    </row>
    <row r="9" spans="2:7" ht="6" customHeight="1" x14ac:dyDescent="0.2">
      <c r="B9" s="95"/>
      <c r="C9" s="92"/>
      <c r="D9" s="92"/>
      <c r="E9" s="92"/>
      <c r="F9" s="88"/>
      <c r="G9" s="83"/>
    </row>
    <row r="10" spans="2:7" ht="16" x14ac:dyDescent="0.2">
      <c r="B10" s="108" t="s">
        <v>227</v>
      </c>
      <c r="C10" s="92"/>
      <c r="D10" s="92"/>
      <c r="E10" s="92"/>
      <c r="F10" s="88"/>
      <c r="G10" s="83"/>
    </row>
    <row r="11" spans="2:7" ht="16" x14ac:dyDescent="0.2">
      <c r="B11" s="91" t="s">
        <v>303</v>
      </c>
      <c r="C11" s="92"/>
      <c r="D11" s="92"/>
      <c r="E11" s="92"/>
      <c r="F11" s="88"/>
      <c r="G11" s="83"/>
    </row>
    <row r="12" spans="2:7" ht="6" customHeight="1" x14ac:dyDescent="0.2">
      <c r="B12" s="95"/>
      <c r="C12" s="92"/>
      <c r="D12" s="92"/>
      <c r="E12" s="92"/>
      <c r="F12" s="88"/>
      <c r="G12" s="83"/>
    </row>
    <row r="13" spans="2:7" ht="16" x14ac:dyDescent="0.2">
      <c r="B13" s="108" t="s">
        <v>304</v>
      </c>
      <c r="C13" s="92"/>
      <c r="D13" s="92"/>
      <c r="E13" s="92"/>
      <c r="F13" s="88"/>
      <c r="G13" s="83"/>
    </row>
    <row r="14" spans="2:7" ht="16" x14ac:dyDescent="0.2">
      <c r="B14" s="91" t="s">
        <v>305</v>
      </c>
      <c r="C14" s="92"/>
      <c r="D14" s="92"/>
      <c r="E14" s="92"/>
      <c r="F14" s="88"/>
      <c r="G14" s="83"/>
    </row>
    <row r="15" spans="2:7" ht="6" customHeight="1" x14ac:dyDescent="0.2">
      <c r="B15" s="95"/>
      <c r="C15" s="92"/>
      <c r="D15" s="92"/>
      <c r="E15" s="92"/>
      <c r="F15" s="88"/>
      <c r="G15" s="83"/>
    </row>
    <row r="16" spans="2:7" ht="16" x14ac:dyDescent="0.2">
      <c r="B16" s="109" t="s">
        <v>212</v>
      </c>
      <c r="C16" s="92"/>
      <c r="D16" s="92"/>
      <c r="E16" s="92"/>
      <c r="F16" s="88"/>
      <c r="G16" s="83"/>
    </row>
    <row r="17" spans="2:8" ht="16" x14ac:dyDescent="0.2">
      <c r="B17" s="105" t="s">
        <v>306</v>
      </c>
      <c r="C17" s="110"/>
      <c r="D17" s="110"/>
      <c r="E17" s="110"/>
      <c r="F17" s="90"/>
      <c r="G17" s="84"/>
    </row>
    <row r="18" spans="2:8" ht="15" customHeight="1" x14ac:dyDescent="0.2"/>
    <row r="19" spans="2:8" x14ac:dyDescent="0.2">
      <c r="B19" t="s">
        <v>173</v>
      </c>
      <c r="C19" t="s">
        <v>307</v>
      </c>
      <c r="D19" t="s">
        <v>308</v>
      </c>
      <c r="E19" s="158" t="s">
        <v>309</v>
      </c>
      <c r="F19" s="158" t="s">
        <v>310</v>
      </c>
      <c r="G19" t="s">
        <v>311</v>
      </c>
      <c r="H19" t="s">
        <v>312</v>
      </c>
    </row>
    <row r="20" spans="2:8" x14ac:dyDescent="0.2">
      <c r="B20" t="s">
        <v>352</v>
      </c>
      <c r="D20" s="39"/>
      <c r="E20" s="159"/>
      <c r="F20" s="160"/>
      <c r="G20" s="39"/>
      <c r="H20" s="39"/>
    </row>
    <row r="21" spans="2:8" x14ac:dyDescent="0.2">
      <c r="B21" t="s">
        <v>315</v>
      </c>
      <c r="D21" s="39"/>
      <c r="E21" s="159"/>
      <c r="F21" s="160"/>
      <c r="G21" s="39"/>
      <c r="H21" s="39"/>
    </row>
    <row r="22" spans="2:8" x14ac:dyDescent="0.2">
      <c r="B22" t="s">
        <v>348</v>
      </c>
      <c r="D22" s="39"/>
      <c r="E22" s="159"/>
      <c r="F22" s="160"/>
      <c r="G22" s="39"/>
      <c r="H22" s="39"/>
    </row>
    <row r="23" spans="2:8" x14ac:dyDescent="0.2">
      <c r="B23" t="s">
        <v>351</v>
      </c>
      <c r="D23" s="39"/>
      <c r="E23" s="159"/>
      <c r="F23" s="160"/>
      <c r="G23" s="39"/>
      <c r="H23" s="39"/>
    </row>
  </sheetData>
  <mergeCells count="1">
    <mergeCell ref="B2:G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AddSupplier">
                <anchor moveWithCells="1" sizeWithCells="1">
                  <from>
                    <xdr:col>1</xdr:col>
                    <xdr:colOff>0</xdr:colOff>
                    <xdr:row>23</xdr:row>
                    <xdr:rowOff>127000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3F545-3EE5-4CC4-9348-8413AF1FE0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PRODUITS</vt:lpstr>
      <vt:lpstr>SOUS-PRODUITS</vt:lpstr>
      <vt:lpstr>input_staging</vt:lpstr>
      <vt:lpstr>input_staging_enriched</vt:lpstr>
      <vt:lpstr>fact_transactions</vt:lpstr>
      <vt:lpstr>INPUT</vt:lpstr>
      <vt:lpstr>COÛTS</vt:lpstr>
      <vt:lpstr>DASHBOARD</vt:lpstr>
      <vt:lpstr>RECHERCHE</vt:lpstr>
      <vt:lpstr>FOURNISSEURS</vt:lpstr>
      <vt:lpstr>InputId</vt:lpstr>
      <vt:lpstr>upload_status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Yoann Robert</cp:lastModifiedBy>
  <cp:revision/>
  <dcterms:created xsi:type="dcterms:W3CDTF">2026-04-18T15:20:34Z</dcterms:created>
  <dcterms:modified xsi:type="dcterms:W3CDTF">2026-05-25T09:21:58Z</dcterms:modified>
  <cp:category/>
  <cp:contentStatus/>
</cp:coreProperties>
</file>